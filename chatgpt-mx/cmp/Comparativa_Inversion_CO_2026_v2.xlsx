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Resumen" state="visible" r:id="rId4"/>
    <sheet sheetId="1" name="Gasto" state="visible" r:id="rId5"/>
    <sheet sheetId="3" name="Hallazgos para DE" state="visible" r:id="rId6"/>
    <sheet sheetId="4" name="Metodología" state="visible" r:id="rId7"/>
  </sheets>
  <calcPr calcId="171027"/>
</workbook>
</file>

<file path=xl/sharedStrings.xml><?xml version="1.0" encoding="utf-8"?>
<sst xmlns="http://schemas.openxmlformats.org/spreadsheetml/2006/main" count="215" uniqueCount="106">
  <si>
    <t>Comparativa inversión de medios CO 2026 — Plataformas vs tabla actual vs tabla nueva</t>
  </si>
  <si>
    <t>Tabla actual: papyrus-data.habi_wh_bi.resumen_inversiones_mkt_co · Tabla nueva: papyrus-master.sellers_comercial_global_dwh.sellers_inversion_marketing_regiones_global_dwh (pais = Colombia, columna spend en USD) · Plataformas: hoja de gasto del equipo (USD). Ene – 22 sep 2026. Sólo gasto.</t>
  </si>
  <si>
    <t>Plataforma</t>
  </si>
  <si>
    <t>Gasto plataforma (USD)</t>
  </si>
  <si>
    <t>Tabla actual</t>
  </si>
  <si>
    <t>Tabla nueva</t>
  </si>
  <si>
    <t>① Actual vs Plat.</t>
  </si>
  <si>
    <t>② Nueva vs Plat.</t>
  </si>
  <si>
    <t>③ Nueva vs Actual</t>
  </si>
  <si>
    <t>Veredicto tabla nueva</t>
  </si>
  <si>
    <t>Meta</t>
  </si>
  <si>
    <t>Falla: divide el gasto en USD entre ~3,100–4,300 como si fuera COP (US$134 en todo el año)</t>
  </si>
  <si>
    <t>Google</t>
  </si>
  <si>
    <t>Falla: duplica el renglón original después del prorrateo (+26% a +38%)</t>
  </si>
  <si>
    <t>TikTok</t>
  </si>
  <si>
    <t>Cuadra jun–sep; en feb trae el gasto vacío (US$148)</t>
  </si>
  <si>
    <t>Bing</t>
  </si>
  <si>
    <t>Cuadra (±0.7%), salvo junio, que viene vacío (US$622)</t>
  </si>
  <si>
    <t>TOTAL</t>
  </si>
  <si>
    <t>La tabla actual cuadra; la nueva no es usable sin corrección</t>
  </si>
  <si>
    <t>Conclusiones</t>
  </si>
  <si>
    <t>1. La tabla actual (resumen_inversiones_mkt_co) cuadra con la hoja de plataforma: diferencias de menos de US$25 por mes en Meta, Bing y TikTok, y en Google ene–may y sep.</t>
  </si>
  <si>
    <t>2. Google jun–ago sale +1.4%, +5.3% y +6.6% en la tabla actual, pero la diferencia es exactamente una campaña (gpm-bog-nbn_3, US$8,273 en total) que no aparece en la hoja de plataforma, probablemente por estar eliminada. No es un error de las tablas.</t>
  </si>
  <si>
    <t>3. La tabla nueva no cuadra: Meta sale en US$134 para todo el año (−100%), Google +26% a +38% por el renglón original duplicado, y faltan Bing junio y TikTok febrero.</t>
  </si>
  <si>
    <t>4. Con la corrección (quitar duplicados en Google y, en Meta, multiplicar spend por el tipo de cambio), Google queda igual a la tabla actual (±0.2%) y Meta igual a la plataforma. Los meses vacíos requieren arreglo en origen (Data Engineering). Detalle: hoja "Hallazgos para DE".</t>
  </si>
  <si>
    <t>Gasto — Colombia 2026 (USD)</t>
  </si>
  <si>
    <t>Plataforma = hoja de gasto del equipo (USD). Tabla nueva = SUM(spend) directo, sin corregir. Vacío = la tabla no trae gasto ese mes.</t>
  </si>
  <si>
    <t>Valores (USD)</t>
  </si>
  <si>
    <t>Diferencia % (vs. referencia)</t>
  </si>
  <si>
    <t>Diferencia absoluta</t>
  </si>
  <si>
    <t>Mes</t>
  </si>
  <si>
    <t>Plataforma (fuente)</t>
  </si>
  <si>
    <t>Tabla nueva corregida*</t>
  </si>
  <si>
    <t>① Actual vs Plataforma</t>
  </si>
  <si>
    <t>② Nueva vs Plataforma</t>
  </si>
  <si>
    <t>Nueva corregida vs Plataforma</t>
  </si>
  <si>
    <t>① Dif. USD</t>
  </si>
  <si>
    <t>② Dif. USD</t>
  </si>
  <si>
    <t>Nota</t>
  </si>
  <si>
    <t>Ene</t>
  </si>
  <si>
    <t/>
  </si>
  <si>
    <t>Feb</t>
  </si>
  <si>
    <t>Mar</t>
  </si>
  <si>
    <t>Abr</t>
  </si>
  <si>
    <t>May</t>
  </si>
  <si>
    <t>Jun</t>
  </si>
  <si>
    <t>Jul</t>
  </si>
  <si>
    <t>Ago</t>
  </si>
  <si>
    <t>Sep*</t>
  </si>
  <si>
    <t>Total 2026</t>
  </si>
  <si>
    <t>Incluye US$696 de la campaña gpm-bog-nbn_3, que no está en la hoja de plataforma</t>
  </si>
  <si>
    <t>Incluye US$3,043 de gpm-bog-nbn_3 (no está en la hoja de plataforma)</t>
  </si>
  <si>
    <t>Incluye US$4,534 de gpm-bog-nbn_3 (no está en la hoja de plataforma)</t>
  </si>
  <si>
    <t>La tabla nueva trae el gasto vacío (NULL) en todo el mes</t>
  </si>
  <si>
    <t>4 plataformas</t>
  </si>
  <si>
    <t>* Tabla nueva corregida = tabla nueva quitando el renglón original duplicado cuando la campaña-día ya se prorrateó por área (ver "Metodología"). En Meta, además, se deshace la división: spend × tipo de cambio (= conversion_cop) como gasto en USD. No corrige los meses vacíos.</t>
  </si>
  <si>
    <t>Semáforo: verde |dif| ≤ 1% · ámbar ≤ 5% · rojo &gt; 5%.  Sep* = parcial, 1 al 22 de septiembre en todas las fuentes.</t>
  </si>
  <si>
    <t>Google jun–ago: tabla actual y tabla nueva corregida coinciden entre sí y quedan arriba de la hoja de plataforma exactamente por la campaña hab-col-sel-pai-per-web-gga-gwg-gpm-bog-nbn_3 (24-jun a 26-ago). Probablemente está eliminada y no salió en el reporte de Google Ads; confirmarlo incluyendo campañas eliminadas.</t>
  </si>
  <si>
    <t>Hallazgos en sellers_inversion_marketing_regiones_global_dwh (Colombia) — qué revisar</t>
  </si>
  <si>
    <t>Cada caso tiene un ejemplo real y una consulta para reproducirlo. Valores en USD.</t>
  </si>
  <si>
    <t>#</t>
  </si>
  <si>
    <t>Problema</t>
  </si>
  <si>
    <t>Qué pasa (ejemplo real)</t>
  </si>
  <si>
    <t>Impacto</t>
  </si>
  <si>
    <t>Qué revisar / cómo debería quedar</t>
  </si>
  <si>
    <t>Consulta para reproducir</t>
  </si>
  <si>
    <t>1</t>
  </si>
  <si>
    <t>Meta: gasto en USD tratado como pesos colombianos</t>
  </si>
  <si>
    <t xml:space="preserve">La cuenta de Meta de Sellers Colombia está en USD. La tabla toma ese valor como COP y lo divide entre el tipo de cambio (el factor implícito va de ~4,300 en enero a ~3,100 en agosto, según la propia tabla).
Ejemplo: 24-ago-2026, hab-col-sel-pai-per-web-mta-mld-oto-med-new: valor_original = 388.72, conversion_cop = 388.72, moneda = "USD", spend = 0.13.
Agosto 2026: plataforma US$67,713 · tabla actual US$67,712 · tabla nueva US$21.66. El valor correcto está en valor_original / conversion_cop (67,712.57), que en realidad son dólares.</t>
  </si>
  <si>
    <t>Meta queda en US$134 para todo 2026 contra US$471,534 reales (−99.97%). Es ~46% de la inversión de Colombia.</t>
  </si>
  <si>
    <t>Si la cuenta está en USD: spend = conversion_usd = valor_original y conversion_cop = valor_original × tipo de cambio. Es el mismo error que en México (allá divide entre ~17 MXN): la regla parece forzar la moneda local en Facebook en lugar de leer la moneda de la cuenta.</t>
  </si>
  <si>
    <t xml:space="preserve">SELECT FORMAT_DATE('%Y-%m',date) mes, SUM(valor_original) valor_original,
  SUM(spend) spend_usd, SUM(conversion_cop) cop, STRING_AGG(DISTINCT moneda) moneda
FROM `papyrus-master.sellers_comercial_global_dwh.sellers_inversion_marketing_regiones_global_dwh`
WHERE pais='Colombia' AND plataforma='Facebook' AND date&gt;='2026-01-01'
GROUP BY 1 ORDER BY 1</t>
  </si>
  <si>
    <t>2</t>
  </si>
  <si>
    <t>Google: renglón original duplicado después del prorrateo por área metropolitana</t>
  </si>
  <si>
    <t xml:space="preserve">Las campañas se reparten por área metropolitana (fuente = Habimetro / WEB). Además de los renglones repartidos, se queda el renglón ORIGINAL sin repartir (fuente NULL, area_metropolitana = "Sin area metropolitana").
Ejemplo: 24-ago-2026, hab-col-hmt-pai-per-web-gga-gwg-gsr-nal. Los 7 renglones repartidos suman US$778 y el renglón original trae US$777 → la tabla suma US$1,555 contra US$777 reales.</t>
  </si>
  <si>
    <t>Google queda entre +26% y +38% cada mes. Ene–22 sep: US$140,326 de gasto duplicado.</t>
  </si>
  <si>
    <t>Cuando una campaña-día se prorratea, eliminar (o no insertar) el renglón original. Regla de control: por (date, plataforma, campana_original), SUM(spend) = gasto de la plataforma. Con esa corrección Google cuadra con la tabla actual (±0.2%).</t>
  </si>
  <si>
    <t xml:space="preserve">SELECT date, campana_original, area_metropolitana, fuente, spend
FROM `papyrus-master.sellers_comercial_global_dwh.sellers_inversion_marketing_regiones_global_dwh`
WHERE pais='Colombia' AND date='2026-08-24'
  AND campana_original='hab-col-hmt-pai-per-web-gga-gwg-gsr-nal'
ORDER BY area_metropolitana</t>
  </si>
  <si>
    <t>3</t>
  </si>
  <si>
    <t>Meses con gasto vacío (NULL)</t>
  </si>
  <si>
    <t xml:space="preserve">Hay renglones con spend, valor_original y conversiones en NULL durante meses completos:
• Bing junio 2026: 22 renglones sin gasto; la plataforma y la tabla actual traen US$622.
• TikTok febrero 2026: 27 renglones sin gasto; la plataforma y la tabla actual traen US$148.
(TikTok ene, mar, abr y may también vienen en NULL, pero ahí la plataforma no tuvo gasto.)</t>
  </si>
  <si>
    <t>US$770 que no aparecen en la tabla nueva. Poco dinero, pero indica que la carga de esos meses falló.</t>
  </si>
  <si>
    <t>Revisar la carga de Bing de junio y de TikTok de febrero. Si no hubo gasto, el valor debería ser 0, no NULL.</t>
  </si>
  <si>
    <t xml:space="preserve">SELECT plataforma, FORMAT_DATE('%Y-%m',date) mes, COUNT(*) renglones,
  COUNTIF(spend IS NULL) spend_null
FROM `papyrus-master.sellers_comercial_global_dwh.sellers_inversion_marketing_regiones_global_dwh`
WHERE pais='Colombia' AND plataforma IN ('Bing','TikTok')
  AND date BETWEEN '2026-01-01' AND '2026-06-30'
GROUP BY 1,2 ORDER BY 1,2</t>
  </si>
  <si>
    <t>4</t>
  </si>
  <si>
    <t>Etiqueta de moneda inconsistente</t>
  </si>
  <si>
    <t>La columna moneda dice "USD" en todos los renglones de Colombia, pero en Meta conversion_cop = valor_original, es decir, la tabla trata valor_original como COP.</t>
  </si>
  <si>
    <t>Confunde a quien use valor_original o moneda para convertir.</t>
  </si>
  <si>
    <t>Que moneda refleje la moneda real de valor_original (la de la cuenta publicitaria) y que las conversiones (usd, cop, mxn) partan de ella.</t>
  </si>
  <si>
    <t>(misma consulta del hallazgo 1)</t>
  </si>
  <si>
    <t>Prueba de aceptación sugerida: para cada plataforma y mes, SUM(spend) de la tabla nueva debe ser igual (±0.5%) a la columna Plataforma de la hoja "Gasto", y SUM(conversion_cop) = SUM(spend) × tipo de cambio del día.</t>
  </si>
  <si>
    <t>Metodología y fuentes</t>
  </si>
  <si>
    <t>Cómo se construyó cada columna.</t>
  </si>
  <si>
    <t>Periodo</t>
  </si>
  <si>
    <t>1-ene-2026 a 22-sep-2026 en todas las fuentes. Septiembre es parcial.</t>
  </si>
  <si>
    <t>Métrica</t>
  </si>
  <si>
    <t>Sólo gasto en USD (no se compararon clics ni impresiones).</t>
  </si>
  <si>
    <t>Hoja de gasto del equipo por plataforma y mes (USD, dólares enteros; en Bing el punto es separador de miles, p. ej. 7.048 = 7,048).</t>
  </si>
  <si>
    <t>papyrus-data.habi_wh_bi.resumen_inversiones_mkt_co: SUM(spend) por plataforma y mes. Está en USD.</t>
  </si>
  <si>
    <t>papyrus-master.sellers_comercial_global_dwh.sellers_inversion_marketing_regiones_global_dwh con pais = 'Colombia': SUM(spend) (USD) directo.</t>
  </si>
  <si>
    <t>Tabla nueva corregida</t>
  </si>
  <si>
    <t>Por (date, plataforma, campana_original): si existe algún renglón con fuente NO nula (prorrateado), se descarta el renglón con fuente NULL (original). Gasto de Meta: spend × tipo de cambio del día, que es igual a conversion_cop (y a valor_original); da el gasto real en USD. Consulta: cmp/co_mensual.sql.</t>
  </si>
  <si>
    <t>Diferencias</t>
  </si>
  <si>
    <t>① Actual vs Plataforma = Actual / Plataforma − 1 · ② Nueva vs Plataforma = Nueva / Plataforma − 1 · ③ Nueva vs Actual = Nueva / Actual − 1.</t>
  </si>
  <si>
    <t>Google jun–ago</t>
  </si>
  <si>
    <t>La diferencia de la tabla actual contra la hoja de plataforma es exactamente la campaña hab-col-sel-pai-per-web-gga-gwg-gpm-bog-nbn_3 (jun US$696, jul US$3,043, ago US$4,534), activa del 24-jun al 26-ago.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</si>
</sst>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+0.0%;-0.0%;0.0%"/>
    <numFmt numFmtId="166" formatCode="$#,##0.00"/>
    <numFmt numFmtId="167" formatCode="+#,##0.00;-#,##0.00;0"/>
  </numFmts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555555"/>
      <sz val="9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9"/>
      <name val="Arial"/>
    </font>
    <font>
      <i/>
      <sz val="9"/>
      <name val="Arial"/>
    </font>
    <font>
      <b/>
      <i/>
      <sz val="9"/>
      <name val="Arial"/>
    </font>
    <font>
      <b/>
      <color rgb="FFFFFFFF"/>
      <sz val="10"/>
      <name val="Arial"/>
    </font>
    <font>
      <b/>
      <i/>
      <color rgb="FFFFFFFF"/>
      <sz val="9"/>
      <name val="Arial"/>
    </font>
    <font>
      <sz val="8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1"/>
      </patternFill>
    </fill>
    <fill>
      <patternFill patternType="solid">
        <fgColor rgb="FFE7EE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5" borderId="0" xfId="0" applyFont="1" applyFill="1" applyAlignment="1">
      <alignment horizontal="center"/>
    </xf>
    <xf numFmtId="0" fontId="4" fillId="0" borderId="1" xfId="0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7" fillId="0" borderId="1" xfId="0" applyFont="1" applyBorder="1" applyAlignment="1">
      <alignment vertical="center" wrapText="1"/>
    </xf>
    <xf numFmtId="166" fontId="3" fillId="4" borderId="1" xfId="0" applyNumberFormat="1" applyFont="1" applyFill="1" applyBorder="1"/>
    <xf numFmtId="167" fontId="3" fillId="4" borderId="1" xfId="0" applyNumberFormat="1" applyFont="1" applyFill="1" applyBorder="1"/>
    <xf numFmtId="0" fontId="8" fillId="4" borderId="1" xfId="0" applyFont="1" applyFill="1" applyBorder="1" applyAlignment="1">
      <alignment vertical="center" wrapText="1"/>
    </xf>
    <xf numFmtId="0" fontId="9" fillId="2" borderId="1" xfId="0" applyFont="1" applyFill="1" applyBorder="1"/>
    <xf numFmtId="166" fontId="9" fillId="2" borderId="1" xfId="0" applyNumberFormat="1" applyFont="1" applyFill="1" applyBorder="1"/>
    <xf numFmtId="165" fontId="9" fillId="2" borderId="1" xfId="0" applyNumberFormat="1" applyFont="1" applyFill="1" applyBorder="1" applyAlignment="1">
      <alignment horizontal="center"/>
    </xf>
    <xf numFmtId="167" fontId="9" fillId="2" borderId="1" xfId="0" applyNumberFormat="1" applyFont="1" applyFill="1" applyBorder="1"/>
    <xf numFmtId="0" fontId="10" fillId="2" borderId="1" xfId="0" applyFont="1" applyFill="1" applyBorder="1" applyAlignment="1">
      <alignment vertical="center" wrapText="1"/>
    </xf>
    <xf numFmtId="0" fontId="7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6"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7" customWidth="1"/>
    <col min="4" max="5" width="15" customWidth="1"/>
    <col min="6" max="6" width="17" customWidth="1"/>
    <col min="7" max="9" width="14" customWidth="1"/>
    <col min="10" max="10" width="16" customWidth="1"/>
    <col min="11" max="12" width="14" customWidth="1"/>
    <col min="13" max="13" width="44" customWidth="1"/>
  </cols>
  <sheetData>
    <row r="1" ht="24" customHeight="1" spans="1:13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 spans="1:13" x14ac:dyDescent="0.25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3:12" x14ac:dyDescent="0.25">
      <c r="C3" s="14" t="s">
        <v>27</v>
      </c>
      <c r="D3" s="14"/>
      <c r="E3" s="14"/>
      <c r="F3" s="14"/>
      <c r="G3" s="14" t="s">
        <v>28</v>
      </c>
      <c r="H3" s="14"/>
      <c r="I3" s="14"/>
      <c r="J3" s="14"/>
      <c r="K3" s="14" t="s">
        <v>29</v>
      </c>
      <c r="L3" s="14"/>
    </row>
    <row r="4" ht="32" customHeight="1" spans="1:13" x14ac:dyDescent="0.25">
      <c r="A4" s="3" t="s">
        <v>2</v>
      </c>
      <c r="B4" s="3" t="s">
        <v>30</v>
      </c>
      <c r="C4" s="3" t="s">
        <v>31</v>
      </c>
      <c r="D4" s="3" t="s">
        <v>4</v>
      </c>
      <c r="E4" s="3" t="s">
        <v>5</v>
      </c>
      <c r="F4" s="3" t="s">
        <v>32</v>
      </c>
      <c r="G4" s="3" t="s">
        <v>33</v>
      </c>
      <c r="H4" s="3" t="s">
        <v>34</v>
      </c>
      <c r="I4" s="3" t="s">
        <v>8</v>
      </c>
      <c r="J4" s="3" t="s">
        <v>35</v>
      </c>
      <c r="K4" s="3" t="s">
        <v>36</v>
      </c>
      <c r="L4" s="3" t="s">
        <v>37</v>
      </c>
      <c r="M4" s="3" t="s">
        <v>38</v>
      </c>
    </row>
    <row r="5" spans="1:13" x14ac:dyDescent="0.25">
      <c r="A5" s="15" t="s">
        <v>10</v>
      </c>
      <c r="B5" s="15" t="s">
        <v>39</v>
      </c>
      <c r="C5" s="16">
        <v>52337</v>
      </c>
      <c r="D5" s="16">
        <v>52332</v>
      </c>
      <c r="E5" s="16">
        <v>12.19</v>
      </c>
      <c r="F5" s="16">
        <v>52337.1</v>
      </c>
      <c r="G5" s="6">
        <f>IF(AND(ISNUMBER(D5),ISNUMBER(C5),C5&lt;&gt;0),D5/C5-1,"")</f>
      </c>
      <c r="H5" s="6">
        <f>IF(AND(ISNUMBER(E5),ISNUMBER(C5),C5&lt;&gt;0),E5/C5-1,"")</f>
      </c>
      <c r="I5" s="6">
        <f>IF(AND(ISNUMBER(E5),ISNUMBER(D5),D5&lt;&gt;0),E5/D5-1,"")</f>
      </c>
      <c r="J5" s="6">
        <f>IF(AND(ISNUMBER(F5),ISNUMBER(C5),C5&lt;&gt;0),F5/C5-1,"")</f>
      </c>
      <c r="K5" s="17">
        <f>IF(AND(ISNUMBER(D5),ISNUMBER(C5)),D5-C5,"")</f>
      </c>
      <c r="L5" s="17">
        <f>IF(AND(ISNUMBER(E5),ISNUMBER(C5)),E5-C5,"")</f>
      </c>
      <c r="M5" s="18" t="s">
        <v>40</v>
      </c>
    </row>
    <row r="6" spans="1:13" x14ac:dyDescent="0.25">
      <c r="A6" s="15" t="s">
        <v>10</v>
      </c>
      <c r="B6" s="15" t="s">
        <v>41</v>
      </c>
      <c r="C6" s="16">
        <v>49329</v>
      </c>
      <c r="D6" s="16">
        <v>49328</v>
      </c>
      <c r="E6" s="16">
        <v>13.42</v>
      </c>
      <c r="F6" s="16">
        <v>49328.51</v>
      </c>
      <c r="G6" s="6">
        <f>IF(AND(ISNUMBER(D6),ISNUMBER(C6),C6&lt;&gt;0),D6/C6-1,"")</f>
      </c>
      <c r="H6" s="6">
        <f>IF(AND(ISNUMBER(E6),ISNUMBER(C6),C6&lt;&gt;0),E6/C6-1,"")</f>
      </c>
      <c r="I6" s="6">
        <f>IF(AND(ISNUMBER(E6),ISNUMBER(D6),D6&lt;&gt;0),E6/D6-1,"")</f>
      </c>
      <c r="J6" s="6">
        <f>IF(AND(ISNUMBER(F6),ISNUMBER(C6),C6&lt;&gt;0),F6/C6-1,"")</f>
      </c>
      <c r="K6" s="17">
        <f>IF(AND(ISNUMBER(D6),ISNUMBER(C6)),D6-C6,"")</f>
      </c>
      <c r="L6" s="17">
        <f>IF(AND(ISNUMBER(E6),ISNUMBER(C6)),E6-C6,"")</f>
      </c>
      <c r="M6" s="18" t="s">
        <v>40</v>
      </c>
    </row>
    <row r="7" spans="1:13" x14ac:dyDescent="0.25">
      <c r="A7" s="15" t="s">
        <v>10</v>
      </c>
      <c r="B7" s="15" t="s">
        <v>42</v>
      </c>
      <c r="C7" s="16">
        <v>52859</v>
      </c>
      <c r="D7" s="16">
        <v>52853</v>
      </c>
      <c r="E7" s="16">
        <v>14.21</v>
      </c>
      <c r="F7" s="16">
        <v>52859.04</v>
      </c>
      <c r="G7" s="6">
        <f>IF(AND(ISNUMBER(D7),ISNUMBER(C7),C7&lt;&gt;0),D7/C7-1,"")</f>
      </c>
      <c r="H7" s="6">
        <f>IF(AND(ISNUMBER(E7),ISNUMBER(C7),C7&lt;&gt;0),E7/C7-1,"")</f>
      </c>
      <c r="I7" s="6">
        <f>IF(AND(ISNUMBER(E7),ISNUMBER(D7),D7&lt;&gt;0),E7/D7-1,"")</f>
      </c>
      <c r="J7" s="6">
        <f>IF(AND(ISNUMBER(F7),ISNUMBER(C7),C7&lt;&gt;0),F7/C7-1,"")</f>
      </c>
      <c r="K7" s="17">
        <f>IF(AND(ISNUMBER(D7),ISNUMBER(C7)),D7-C7,"")</f>
      </c>
      <c r="L7" s="17">
        <f>IF(AND(ISNUMBER(E7),ISNUMBER(C7)),E7-C7,"")</f>
      </c>
      <c r="M7" s="18" t="s">
        <v>40</v>
      </c>
    </row>
    <row r="8" spans="1:13" x14ac:dyDescent="0.25">
      <c r="A8" s="15" t="s">
        <v>10</v>
      </c>
      <c r="B8" s="15" t="s">
        <v>43</v>
      </c>
      <c r="C8" s="16">
        <v>43411</v>
      </c>
      <c r="D8" s="16">
        <v>43413</v>
      </c>
      <c r="E8" s="16">
        <v>12</v>
      </c>
      <c r="F8" s="16">
        <v>43411.35</v>
      </c>
      <c r="G8" s="6">
        <f>IF(AND(ISNUMBER(D8),ISNUMBER(C8),C8&lt;&gt;0),D8/C8-1,"")</f>
      </c>
      <c r="H8" s="6">
        <f>IF(AND(ISNUMBER(E8),ISNUMBER(C8),C8&lt;&gt;0),E8/C8-1,"")</f>
      </c>
      <c r="I8" s="6">
        <f>IF(AND(ISNUMBER(E8),ISNUMBER(D8),D8&lt;&gt;0),E8/D8-1,"")</f>
      </c>
      <c r="J8" s="6">
        <f>IF(AND(ISNUMBER(F8),ISNUMBER(C8),C8&lt;&gt;0),F8/C8-1,"")</f>
      </c>
      <c r="K8" s="17">
        <f>IF(AND(ISNUMBER(D8),ISNUMBER(C8)),D8-C8,"")</f>
      </c>
      <c r="L8" s="17">
        <f>IF(AND(ISNUMBER(E8),ISNUMBER(C8)),E8-C8,"")</f>
      </c>
      <c r="M8" s="18" t="s">
        <v>40</v>
      </c>
    </row>
    <row r="9" spans="1:13" x14ac:dyDescent="0.25">
      <c r="A9" s="15" t="s">
        <v>10</v>
      </c>
      <c r="B9" s="15" t="s">
        <v>44</v>
      </c>
      <c r="C9" s="16">
        <v>47443</v>
      </c>
      <c r="D9" s="16">
        <v>47453</v>
      </c>
      <c r="E9" s="16">
        <v>12.78</v>
      </c>
      <c r="F9" s="16">
        <v>47443.37</v>
      </c>
      <c r="G9" s="6">
        <f>IF(AND(ISNUMBER(D9),ISNUMBER(C9),C9&lt;&gt;0),D9/C9-1,"")</f>
      </c>
      <c r="H9" s="6">
        <f>IF(AND(ISNUMBER(E9),ISNUMBER(C9),C9&lt;&gt;0),E9/C9-1,"")</f>
      </c>
      <c r="I9" s="6">
        <f>IF(AND(ISNUMBER(E9),ISNUMBER(D9),D9&lt;&gt;0),E9/D9-1,"")</f>
      </c>
      <c r="J9" s="6">
        <f>IF(AND(ISNUMBER(F9),ISNUMBER(C9),C9&lt;&gt;0),F9/C9-1,"")</f>
      </c>
      <c r="K9" s="17">
        <f>IF(AND(ISNUMBER(D9),ISNUMBER(C9)),D9-C9,"")</f>
      </c>
      <c r="L9" s="17">
        <f>IF(AND(ISNUMBER(E9),ISNUMBER(C9)),E9-C9,"")</f>
      </c>
      <c r="M9" s="18" t="s">
        <v>40</v>
      </c>
    </row>
    <row r="10" spans="1:13" x14ac:dyDescent="0.25">
      <c r="A10" s="15" t="s">
        <v>10</v>
      </c>
      <c r="B10" s="15" t="s">
        <v>45</v>
      </c>
      <c r="C10" s="16">
        <v>50975</v>
      </c>
      <c r="D10" s="16">
        <v>50976</v>
      </c>
      <c r="E10" s="16">
        <v>14.59</v>
      </c>
      <c r="F10" s="16">
        <v>50975.41</v>
      </c>
      <c r="G10" s="6">
        <f>IF(AND(ISNUMBER(D10),ISNUMBER(C10),C10&lt;&gt;0),D10/C10-1,"")</f>
      </c>
      <c r="H10" s="6">
        <f>IF(AND(ISNUMBER(E10),ISNUMBER(C10),C10&lt;&gt;0),E10/C10-1,"")</f>
      </c>
      <c r="I10" s="6">
        <f>IF(AND(ISNUMBER(E10),ISNUMBER(D10),D10&lt;&gt;0),E10/D10-1,"")</f>
      </c>
      <c r="J10" s="6">
        <f>IF(AND(ISNUMBER(F10),ISNUMBER(C10),C10&lt;&gt;0),F10/C10-1,"")</f>
      </c>
      <c r="K10" s="17">
        <f>IF(AND(ISNUMBER(D10),ISNUMBER(C10)),D10-C10,"")</f>
      </c>
      <c r="L10" s="17">
        <f>IF(AND(ISNUMBER(E10),ISNUMBER(C10)),E10-C10,"")</f>
      </c>
      <c r="M10" s="18" t="s">
        <v>40</v>
      </c>
    </row>
    <row r="11" spans="1:13" x14ac:dyDescent="0.25">
      <c r="A11" s="15" t="s">
        <v>10</v>
      </c>
      <c r="B11" s="15" t="s">
        <v>46</v>
      </c>
      <c r="C11" s="16">
        <v>52247</v>
      </c>
      <c r="D11" s="16">
        <v>52252</v>
      </c>
      <c r="E11" s="16">
        <v>16</v>
      </c>
      <c r="F11" s="16">
        <v>52247.07</v>
      </c>
      <c r="G11" s="6">
        <f>IF(AND(ISNUMBER(D11),ISNUMBER(C11),C11&lt;&gt;0),D11/C11-1,"")</f>
      </c>
      <c r="H11" s="6">
        <f>IF(AND(ISNUMBER(E11),ISNUMBER(C11),C11&lt;&gt;0),E11/C11-1,"")</f>
      </c>
      <c r="I11" s="6">
        <f>IF(AND(ISNUMBER(E11),ISNUMBER(D11),D11&lt;&gt;0),E11/D11-1,"")</f>
      </c>
      <c r="J11" s="6">
        <f>IF(AND(ISNUMBER(F11),ISNUMBER(C11),C11&lt;&gt;0),F11/C11-1,"")</f>
      </c>
      <c r="K11" s="17">
        <f>IF(AND(ISNUMBER(D11),ISNUMBER(C11)),D11-C11,"")</f>
      </c>
      <c r="L11" s="17">
        <f>IF(AND(ISNUMBER(E11),ISNUMBER(C11)),E11-C11,"")</f>
      </c>
      <c r="M11" s="18" t="s">
        <v>40</v>
      </c>
    </row>
    <row r="12" spans="1:13" x14ac:dyDescent="0.25">
      <c r="A12" s="15" t="s">
        <v>10</v>
      </c>
      <c r="B12" s="15" t="s">
        <v>47</v>
      </c>
      <c r="C12" s="16">
        <v>67713</v>
      </c>
      <c r="D12" s="16">
        <v>67712</v>
      </c>
      <c r="E12" s="16">
        <v>21.66</v>
      </c>
      <c r="F12" s="16">
        <v>67712.57</v>
      </c>
      <c r="G12" s="6">
        <f>IF(AND(ISNUMBER(D12),ISNUMBER(C12),C12&lt;&gt;0),D12/C12-1,"")</f>
      </c>
      <c r="H12" s="6">
        <f>IF(AND(ISNUMBER(E12),ISNUMBER(C12),C12&lt;&gt;0),E12/C12-1,"")</f>
      </c>
      <c r="I12" s="6">
        <f>IF(AND(ISNUMBER(E12),ISNUMBER(D12),D12&lt;&gt;0),E12/D12-1,"")</f>
      </c>
      <c r="J12" s="6">
        <f>IF(AND(ISNUMBER(F12),ISNUMBER(C12),C12&lt;&gt;0),F12/C12-1,"")</f>
      </c>
      <c r="K12" s="17">
        <f>IF(AND(ISNUMBER(D12),ISNUMBER(C12)),D12-C12,"")</f>
      </c>
      <c r="L12" s="17">
        <f>IF(AND(ISNUMBER(E12),ISNUMBER(C12)),E12-C12,"")</f>
      </c>
      <c r="M12" s="18" t="s">
        <v>40</v>
      </c>
    </row>
    <row r="13" spans="1:13" x14ac:dyDescent="0.25">
      <c r="A13" s="15" t="s">
        <v>10</v>
      </c>
      <c r="B13" s="15" t="s">
        <v>48</v>
      </c>
      <c r="C13" s="16">
        <v>55220</v>
      </c>
      <c r="D13" s="16">
        <v>55224</v>
      </c>
      <c r="E13" s="16">
        <v>17.6</v>
      </c>
      <c r="F13" s="16">
        <v>55216.62</v>
      </c>
      <c r="G13" s="6">
        <f>IF(AND(ISNUMBER(D13),ISNUMBER(C13),C13&lt;&gt;0),D13/C13-1,"")</f>
      </c>
      <c r="H13" s="6">
        <f>IF(AND(ISNUMBER(E13),ISNUMBER(C13),C13&lt;&gt;0),E13/C13-1,"")</f>
      </c>
      <c r="I13" s="6">
        <f>IF(AND(ISNUMBER(E13),ISNUMBER(D13),D13&lt;&gt;0),E13/D13-1,"")</f>
      </c>
      <c r="J13" s="6">
        <f>IF(AND(ISNUMBER(F13),ISNUMBER(C13),C13&lt;&gt;0),F13/C13-1,"")</f>
      </c>
      <c r="K13" s="17">
        <f>IF(AND(ISNUMBER(D13),ISNUMBER(C13)),D13-C13,"")</f>
      </c>
      <c r="L13" s="17">
        <f>IF(AND(ISNUMBER(E13),ISNUMBER(C13)),E13-C13,"")</f>
      </c>
      <c r="M13" s="18" t="s">
        <v>40</v>
      </c>
    </row>
    <row r="14" spans="1:13" x14ac:dyDescent="0.25">
      <c r="A14" s="8" t="s">
        <v>10</v>
      </c>
      <c r="B14" s="8" t="s">
        <v>49</v>
      </c>
      <c r="C14" s="19">
        <f>SUM(C5:C13)</f>
      </c>
      <c r="D14" s="19">
        <f>SUM(D5:D13)</f>
      </c>
      <c r="E14" s="19">
        <f>SUM(E5:E13)</f>
      </c>
      <c r="F14" s="19">
        <f>SUM(F5:F13)</f>
      </c>
      <c r="G14" s="10">
        <f>IF(AND(ISNUMBER(D14),ISNUMBER(C14),C14&lt;&gt;0),D14/C14-1,"")</f>
      </c>
      <c r="H14" s="10">
        <f>IF(AND(ISNUMBER(E14),ISNUMBER(C14),C14&lt;&gt;0),E14/C14-1,"")</f>
      </c>
      <c r="I14" s="10">
        <f>IF(AND(ISNUMBER(E14),ISNUMBER(D14),D14&lt;&gt;0),E14/D14-1,"")</f>
      </c>
      <c r="J14" s="10">
        <f>IF(AND(ISNUMBER(F14),ISNUMBER(C14),C14&lt;&gt;0),F14/C14-1,"")</f>
      </c>
      <c r="K14" s="20">
        <f>IF(AND(ISNUMBER(D14),ISNUMBER(C14)),D14-C14,"")</f>
      </c>
      <c r="L14" s="20">
        <f>IF(AND(ISNUMBER(E14),ISNUMBER(C14)),E14-C14,"")</f>
      </c>
      <c r="M14" s="21"/>
    </row>
    <row r="15" spans="1:1" x14ac:dyDescent="0.25"/>
    <row r="16" spans="1:13" x14ac:dyDescent="0.25">
      <c r="A16" s="15" t="s">
        <v>12</v>
      </c>
      <c r="B16" s="15" t="s">
        <v>39</v>
      </c>
      <c r="C16" s="16">
        <v>49829</v>
      </c>
      <c r="D16" s="16">
        <v>49828</v>
      </c>
      <c r="E16" s="16">
        <v>63504</v>
      </c>
      <c r="F16" s="16">
        <v>49772</v>
      </c>
      <c r="G16" s="6">
        <f>IF(AND(ISNUMBER(D16),ISNUMBER(C16),C16&lt;&gt;0),D16/C16-1,"")</f>
      </c>
      <c r="H16" s="6">
        <f>IF(AND(ISNUMBER(E16),ISNUMBER(C16),C16&lt;&gt;0),E16/C16-1,"")</f>
      </c>
      <c r="I16" s="6">
        <f>IF(AND(ISNUMBER(E16),ISNUMBER(D16),D16&lt;&gt;0),E16/D16-1,"")</f>
      </c>
      <c r="J16" s="6">
        <f>IF(AND(ISNUMBER(F16),ISNUMBER(C16),C16&lt;&gt;0),F16/C16-1,"")</f>
      </c>
      <c r="K16" s="17">
        <f>IF(AND(ISNUMBER(D16),ISNUMBER(C16)),D16-C16,"")</f>
      </c>
      <c r="L16" s="17">
        <f>IF(AND(ISNUMBER(E16),ISNUMBER(C16)),E16-C16,"")</f>
      </c>
      <c r="M16" s="18" t="s">
        <v>40</v>
      </c>
    </row>
    <row r="17" spans="1:13" x14ac:dyDescent="0.25">
      <c r="A17" s="15" t="s">
        <v>12</v>
      </c>
      <c r="B17" s="15" t="s">
        <v>41</v>
      </c>
      <c r="C17" s="16">
        <v>49372</v>
      </c>
      <c r="D17" s="16">
        <v>49366</v>
      </c>
      <c r="E17" s="16">
        <v>62608</v>
      </c>
      <c r="F17" s="16">
        <v>49292</v>
      </c>
      <c r="G17" s="6">
        <f>IF(AND(ISNUMBER(D17),ISNUMBER(C17),C17&lt;&gt;0),D17/C17-1,"")</f>
      </c>
      <c r="H17" s="6">
        <f>IF(AND(ISNUMBER(E17),ISNUMBER(C17),C17&lt;&gt;0),E17/C17-1,"")</f>
      </c>
      <c r="I17" s="6">
        <f>IF(AND(ISNUMBER(E17),ISNUMBER(D17),D17&lt;&gt;0),E17/D17-1,"")</f>
      </c>
      <c r="J17" s="6">
        <f>IF(AND(ISNUMBER(F17),ISNUMBER(C17),C17&lt;&gt;0),F17/C17-1,"")</f>
      </c>
      <c r="K17" s="17">
        <f>IF(AND(ISNUMBER(D17),ISNUMBER(C17)),D17-C17,"")</f>
      </c>
      <c r="L17" s="17">
        <f>IF(AND(ISNUMBER(E17),ISNUMBER(C17)),E17-C17,"")</f>
      </c>
      <c r="M17" s="18" t="s">
        <v>40</v>
      </c>
    </row>
    <row r="18" spans="1:13" x14ac:dyDescent="0.25">
      <c r="A18" s="15" t="s">
        <v>12</v>
      </c>
      <c r="B18" s="15" t="s">
        <v>42</v>
      </c>
      <c r="C18" s="16">
        <v>50122</v>
      </c>
      <c r="D18" s="16">
        <v>50123</v>
      </c>
      <c r="E18" s="16">
        <v>64120</v>
      </c>
      <c r="F18" s="16">
        <v>50103</v>
      </c>
      <c r="G18" s="6">
        <f>IF(AND(ISNUMBER(D18),ISNUMBER(C18),C18&lt;&gt;0),D18/C18-1,"")</f>
      </c>
      <c r="H18" s="6">
        <f>IF(AND(ISNUMBER(E18),ISNUMBER(C18),C18&lt;&gt;0),E18/C18-1,"")</f>
      </c>
      <c r="I18" s="6">
        <f>IF(AND(ISNUMBER(E18),ISNUMBER(D18),D18&lt;&gt;0),E18/D18-1,"")</f>
      </c>
      <c r="J18" s="6">
        <f>IF(AND(ISNUMBER(F18),ISNUMBER(C18),C18&lt;&gt;0),F18/C18-1,"")</f>
      </c>
      <c r="K18" s="17">
        <f>IF(AND(ISNUMBER(D18),ISNUMBER(C18)),D18-C18,"")</f>
      </c>
      <c r="L18" s="17">
        <f>IF(AND(ISNUMBER(E18),ISNUMBER(C18)),E18-C18,"")</f>
      </c>
      <c r="M18" s="18" t="s">
        <v>40</v>
      </c>
    </row>
    <row r="19" spans="1:13" x14ac:dyDescent="0.25">
      <c r="A19" s="15" t="s">
        <v>12</v>
      </c>
      <c r="B19" s="15" t="s">
        <v>43</v>
      </c>
      <c r="C19" s="16">
        <v>52358</v>
      </c>
      <c r="D19" s="16">
        <v>52353</v>
      </c>
      <c r="E19" s="16">
        <v>66355</v>
      </c>
      <c r="F19" s="16">
        <v>52263</v>
      </c>
      <c r="G19" s="6">
        <f>IF(AND(ISNUMBER(D19),ISNUMBER(C19),C19&lt;&gt;0),D19/C19-1,"")</f>
      </c>
      <c r="H19" s="6">
        <f>IF(AND(ISNUMBER(E19),ISNUMBER(C19),C19&lt;&gt;0),E19/C19-1,"")</f>
      </c>
      <c r="I19" s="6">
        <f>IF(AND(ISNUMBER(E19),ISNUMBER(D19),D19&lt;&gt;0),E19/D19-1,"")</f>
      </c>
      <c r="J19" s="6">
        <f>IF(AND(ISNUMBER(F19),ISNUMBER(C19),C19&lt;&gt;0),F19/C19-1,"")</f>
      </c>
      <c r="K19" s="17">
        <f>IF(AND(ISNUMBER(D19),ISNUMBER(C19)),D19-C19,"")</f>
      </c>
      <c r="L19" s="17">
        <f>IF(AND(ISNUMBER(E19),ISNUMBER(C19)),E19-C19,"")</f>
      </c>
      <c r="M19" s="18" t="s">
        <v>40</v>
      </c>
    </row>
    <row r="20" spans="1:13" x14ac:dyDescent="0.25">
      <c r="A20" s="15" t="s">
        <v>12</v>
      </c>
      <c r="B20" s="15" t="s">
        <v>44</v>
      </c>
      <c r="C20" s="16">
        <v>54603</v>
      </c>
      <c r="D20" s="16">
        <v>54606</v>
      </c>
      <c r="E20" s="16">
        <v>70567</v>
      </c>
      <c r="F20" s="16">
        <v>54543</v>
      </c>
      <c r="G20" s="6">
        <f>IF(AND(ISNUMBER(D20),ISNUMBER(C20),C20&lt;&gt;0),D20/C20-1,"")</f>
      </c>
      <c r="H20" s="6">
        <f>IF(AND(ISNUMBER(E20),ISNUMBER(C20),C20&lt;&gt;0),E20/C20-1,"")</f>
      </c>
      <c r="I20" s="6">
        <f>IF(AND(ISNUMBER(E20),ISNUMBER(D20),D20&lt;&gt;0),E20/D20-1,"")</f>
      </c>
      <c r="J20" s="6">
        <f>IF(AND(ISNUMBER(F20),ISNUMBER(C20),C20&lt;&gt;0),F20/C20-1,"")</f>
      </c>
      <c r="K20" s="17">
        <f>IF(AND(ISNUMBER(D20),ISNUMBER(C20)),D20-C20,"")</f>
      </c>
      <c r="L20" s="17">
        <f>IF(AND(ISNUMBER(E20),ISNUMBER(C20)),E20-C20,"")</f>
      </c>
      <c r="M20" s="18" t="s">
        <v>40</v>
      </c>
    </row>
    <row r="21" spans="1:13" x14ac:dyDescent="0.25">
      <c r="A21" s="15" t="s">
        <v>12</v>
      </c>
      <c r="B21" s="15" t="s">
        <v>45</v>
      </c>
      <c r="C21" s="16">
        <v>48543</v>
      </c>
      <c r="D21" s="16">
        <v>49239</v>
      </c>
      <c r="E21" s="16">
        <v>64960</v>
      </c>
      <c r="F21" s="16">
        <v>49253</v>
      </c>
      <c r="G21" s="6">
        <f>IF(AND(ISNUMBER(D21),ISNUMBER(C21),C21&lt;&gt;0),D21/C21-1,"")</f>
      </c>
      <c r="H21" s="6">
        <f>IF(AND(ISNUMBER(E21),ISNUMBER(C21),C21&lt;&gt;0),E21/C21-1,"")</f>
      </c>
      <c r="I21" s="6">
        <f>IF(AND(ISNUMBER(E21),ISNUMBER(D21),D21&lt;&gt;0),E21/D21-1,"")</f>
      </c>
      <c r="J21" s="6">
        <f>IF(AND(ISNUMBER(F21),ISNUMBER(C21),C21&lt;&gt;0),F21/C21-1,"")</f>
      </c>
      <c r="K21" s="17">
        <f>IF(AND(ISNUMBER(D21),ISNUMBER(C21)),D21-C21,"")</f>
      </c>
      <c r="L21" s="17">
        <f>IF(AND(ISNUMBER(E21),ISNUMBER(C21)),E21-C21,"")</f>
      </c>
      <c r="M21" s="18" t="s">
        <v>50</v>
      </c>
    </row>
    <row r="22" spans="1:13" x14ac:dyDescent="0.25">
      <c r="A22" s="15" t="s">
        <v>12</v>
      </c>
      <c r="B22" s="15" t="s">
        <v>46</v>
      </c>
      <c r="C22" s="16">
        <v>57509</v>
      </c>
      <c r="D22" s="16">
        <v>60548</v>
      </c>
      <c r="E22" s="16">
        <v>79130</v>
      </c>
      <c r="F22" s="16">
        <v>60514</v>
      </c>
      <c r="G22" s="6">
        <f>IF(AND(ISNUMBER(D22),ISNUMBER(C22),C22&lt;&gt;0),D22/C22-1,"")</f>
      </c>
      <c r="H22" s="6">
        <f>IF(AND(ISNUMBER(E22),ISNUMBER(C22),C22&lt;&gt;0),E22/C22-1,"")</f>
      </c>
      <c r="I22" s="6">
        <f>IF(AND(ISNUMBER(E22),ISNUMBER(D22),D22&lt;&gt;0),E22/D22-1,"")</f>
      </c>
      <c r="J22" s="6">
        <f>IF(AND(ISNUMBER(F22),ISNUMBER(C22),C22&lt;&gt;0),F22/C22-1,"")</f>
      </c>
      <c r="K22" s="17">
        <f>IF(AND(ISNUMBER(D22),ISNUMBER(C22)),D22-C22,"")</f>
      </c>
      <c r="L22" s="17">
        <f>IF(AND(ISNUMBER(E22),ISNUMBER(C22)),E22-C22,"")</f>
      </c>
      <c r="M22" s="18" t="s">
        <v>51</v>
      </c>
    </row>
    <row r="23" spans="1:13" x14ac:dyDescent="0.25">
      <c r="A23" s="15" t="s">
        <v>12</v>
      </c>
      <c r="B23" s="15" t="s">
        <v>47</v>
      </c>
      <c r="C23" s="16">
        <v>68963</v>
      </c>
      <c r="D23" s="16">
        <v>73496</v>
      </c>
      <c r="E23" s="16">
        <v>93975</v>
      </c>
      <c r="F23" s="16">
        <v>73526</v>
      </c>
      <c r="G23" s="6">
        <f>IF(AND(ISNUMBER(D23),ISNUMBER(C23),C23&lt;&gt;0),D23/C23-1,"")</f>
      </c>
      <c r="H23" s="6">
        <f>IF(AND(ISNUMBER(E23),ISNUMBER(C23),C23&lt;&gt;0),E23/C23-1,"")</f>
      </c>
      <c r="I23" s="6">
        <f>IF(AND(ISNUMBER(E23),ISNUMBER(D23),D23&lt;&gt;0),E23/D23-1,"")</f>
      </c>
      <c r="J23" s="6">
        <f>IF(AND(ISNUMBER(F23),ISNUMBER(C23),C23&lt;&gt;0),F23/C23-1,"")</f>
      </c>
      <c r="K23" s="17">
        <f>IF(AND(ISNUMBER(D23),ISNUMBER(C23)),D23-C23,"")</f>
      </c>
      <c r="L23" s="17">
        <f>IF(AND(ISNUMBER(E23),ISNUMBER(C23)),E23-C23,"")</f>
      </c>
      <c r="M23" s="18" t="s">
        <v>52</v>
      </c>
    </row>
    <row r="24" spans="1:13" x14ac:dyDescent="0.25">
      <c r="A24" s="15" t="s">
        <v>12</v>
      </c>
      <c r="B24" s="15" t="s">
        <v>48</v>
      </c>
      <c r="C24" s="16">
        <v>55181</v>
      </c>
      <c r="D24" s="16">
        <v>55181</v>
      </c>
      <c r="E24" s="16">
        <v>69556</v>
      </c>
      <c r="F24" s="16">
        <v>55183</v>
      </c>
      <c r="G24" s="6">
        <f>IF(AND(ISNUMBER(D24),ISNUMBER(C24),C24&lt;&gt;0),D24/C24-1,"")</f>
      </c>
      <c r="H24" s="6">
        <f>IF(AND(ISNUMBER(E24),ISNUMBER(C24),C24&lt;&gt;0),E24/C24-1,"")</f>
      </c>
      <c r="I24" s="6">
        <f>IF(AND(ISNUMBER(E24),ISNUMBER(D24),D24&lt;&gt;0),E24/D24-1,"")</f>
      </c>
      <c r="J24" s="6">
        <f>IF(AND(ISNUMBER(F24),ISNUMBER(C24),C24&lt;&gt;0),F24/C24-1,"")</f>
      </c>
      <c r="K24" s="17">
        <f>IF(AND(ISNUMBER(D24),ISNUMBER(C24)),D24-C24,"")</f>
      </c>
      <c r="L24" s="17">
        <f>IF(AND(ISNUMBER(E24),ISNUMBER(C24)),E24-C24,"")</f>
      </c>
      <c r="M24" s="18" t="s">
        <v>40</v>
      </c>
    </row>
    <row r="25" spans="1:13" x14ac:dyDescent="0.25">
      <c r="A25" s="8" t="s">
        <v>12</v>
      </c>
      <c r="B25" s="8" t="s">
        <v>49</v>
      </c>
      <c r="C25" s="19">
        <f>SUM(C16:C24)</f>
      </c>
      <c r="D25" s="19">
        <f>SUM(D16:D24)</f>
      </c>
      <c r="E25" s="19">
        <f>SUM(E16:E24)</f>
      </c>
      <c r="F25" s="19">
        <f>SUM(F16:F24)</f>
      </c>
      <c r="G25" s="10">
        <f>IF(AND(ISNUMBER(D25),ISNUMBER(C25),C25&lt;&gt;0),D25/C25-1,"")</f>
      </c>
      <c r="H25" s="10">
        <f>IF(AND(ISNUMBER(E25),ISNUMBER(C25),C25&lt;&gt;0),E25/C25-1,"")</f>
      </c>
      <c r="I25" s="10">
        <f>IF(AND(ISNUMBER(E25),ISNUMBER(D25),D25&lt;&gt;0),E25/D25-1,"")</f>
      </c>
      <c r="J25" s="10">
        <f>IF(AND(ISNUMBER(F25),ISNUMBER(C25),C25&lt;&gt;0),F25/C25-1,"")</f>
      </c>
      <c r="K25" s="20">
        <f>IF(AND(ISNUMBER(D25),ISNUMBER(C25)),D25-C25,"")</f>
      </c>
      <c r="L25" s="20">
        <f>IF(AND(ISNUMBER(E25),ISNUMBER(C25)),E25-C25,"")</f>
      </c>
      <c r="M25" s="21"/>
    </row>
    <row r="26" spans="1:1" x14ac:dyDescent="0.25"/>
    <row r="27" spans="1:13" x14ac:dyDescent="0.25">
      <c r="A27" s="15" t="s">
        <v>14</v>
      </c>
      <c r="B27" s="15" t="s">
        <v>39</v>
      </c>
      <c r="C27" s="16">
        <v>0</v>
      </c>
      <c r="D27" s="16">
        <v>0</v>
      </c>
      <c r="E27" s="16"/>
      <c r="F27" s="16"/>
      <c r="G27" s="6">
        <f>IF(AND(ISNUMBER(D27),ISNUMBER(C27),C27&lt;&gt;0),D27/C27-1,"")</f>
      </c>
      <c r="H27" s="6">
        <f>IF(AND(ISNUMBER(E27),ISNUMBER(C27),C27&lt;&gt;0),E27/C27-1,"")</f>
      </c>
      <c r="I27" s="6">
        <f>IF(AND(ISNUMBER(E27),ISNUMBER(D27),D27&lt;&gt;0),E27/D27-1,"")</f>
      </c>
      <c r="J27" s="6">
        <f>IF(AND(ISNUMBER(F27),ISNUMBER(C27),C27&lt;&gt;0),F27/C27-1,"")</f>
      </c>
      <c r="K27" s="17">
        <f>IF(AND(ISNUMBER(D27),ISNUMBER(C27)),D27-C27,"")</f>
      </c>
      <c r="L27" s="17">
        <f>IF(AND(ISNUMBER(E27),ISNUMBER(C27)),E27-C27,"")</f>
      </c>
      <c r="M27" s="18" t="s">
        <v>40</v>
      </c>
    </row>
    <row r="28" spans="1:13" x14ac:dyDescent="0.25">
      <c r="A28" s="15" t="s">
        <v>14</v>
      </c>
      <c r="B28" s="15" t="s">
        <v>41</v>
      </c>
      <c r="C28" s="16">
        <v>148</v>
      </c>
      <c r="D28" s="16">
        <v>148</v>
      </c>
      <c r="E28" s="16"/>
      <c r="F28" s="16"/>
      <c r="G28" s="6">
        <f>IF(AND(ISNUMBER(D28),ISNUMBER(C28),C28&lt;&gt;0),D28/C28-1,"")</f>
      </c>
      <c r="H28" s="6">
        <f>IF(AND(ISNUMBER(E28),ISNUMBER(C28),C28&lt;&gt;0),E28/C28-1,"")</f>
      </c>
      <c r="I28" s="6">
        <f>IF(AND(ISNUMBER(E28),ISNUMBER(D28),D28&lt;&gt;0),E28/D28-1,"")</f>
      </c>
      <c r="J28" s="6">
        <f>IF(AND(ISNUMBER(F28),ISNUMBER(C28),C28&lt;&gt;0),F28/C28-1,"")</f>
      </c>
      <c r="K28" s="17">
        <f>IF(AND(ISNUMBER(D28),ISNUMBER(C28)),D28-C28,"")</f>
      </c>
      <c r="L28" s="17">
        <f>IF(AND(ISNUMBER(E28),ISNUMBER(C28)),E28-C28,"")</f>
      </c>
      <c r="M28" s="18" t="s">
        <v>53</v>
      </c>
    </row>
    <row r="29" spans="1:13" x14ac:dyDescent="0.25">
      <c r="A29" s="15" t="s">
        <v>14</v>
      </c>
      <c r="B29" s="15" t="s">
        <v>42</v>
      </c>
      <c r="C29" s="16">
        <v>0</v>
      </c>
      <c r="D29" s="16">
        <v>0</v>
      </c>
      <c r="E29" s="16"/>
      <c r="F29" s="16"/>
      <c r="G29" s="6">
        <f>IF(AND(ISNUMBER(D29),ISNUMBER(C29),C29&lt;&gt;0),D29/C29-1,"")</f>
      </c>
      <c r="H29" s="6">
        <f>IF(AND(ISNUMBER(E29),ISNUMBER(C29),C29&lt;&gt;0),E29/C29-1,"")</f>
      </c>
      <c r="I29" s="6">
        <f>IF(AND(ISNUMBER(E29),ISNUMBER(D29),D29&lt;&gt;0),E29/D29-1,"")</f>
      </c>
      <c r="J29" s="6">
        <f>IF(AND(ISNUMBER(F29),ISNUMBER(C29),C29&lt;&gt;0),F29/C29-1,"")</f>
      </c>
      <c r="K29" s="17">
        <f>IF(AND(ISNUMBER(D29),ISNUMBER(C29)),D29-C29,"")</f>
      </c>
      <c r="L29" s="17">
        <f>IF(AND(ISNUMBER(E29),ISNUMBER(C29)),E29-C29,"")</f>
      </c>
      <c r="M29" s="18" t="s">
        <v>40</v>
      </c>
    </row>
    <row r="30" spans="1:13" x14ac:dyDescent="0.25">
      <c r="A30" s="15" t="s">
        <v>14</v>
      </c>
      <c r="B30" s="15" t="s">
        <v>43</v>
      </c>
      <c r="C30" s="16">
        <v>0</v>
      </c>
      <c r="D30" s="16">
        <v>0</v>
      </c>
      <c r="E30" s="16"/>
      <c r="F30" s="16"/>
      <c r="G30" s="6">
        <f>IF(AND(ISNUMBER(D30),ISNUMBER(C30),C30&lt;&gt;0),D30/C30-1,"")</f>
      </c>
      <c r="H30" s="6">
        <f>IF(AND(ISNUMBER(E30),ISNUMBER(C30),C30&lt;&gt;0),E30/C30-1,"")</f>
      </c>
      <c r="I30" s="6">
        <f>IF(AND(ISNUMBER(E30),ISNUMBER(D30),D30&lt;&gt;0),E30/D30-1,"")</f>
      </c>
      <c r="J30" s="6">
        <f>IF(AND(ISNUMBER(F30),ISNUMBER(C30),C30&lt;&gt;0),F30/C30-1,"")</f>
      </c>
      <c r="K30" s="17">
        <f>IF(AND(ISNUMBER(D30),ISNUMBER(C30)),D30-C30,"")</f>
      </c>
      <c r="L30" s="17">
        <f>IF(AND(ISNUMBER(E30),ISNUMBER(C30)),E30-C30,"")</f>
      </c>
      <c r="M30" s="18" t="s">
        <v>40</v>
      </c>
    </row>
    <row r="31" spans="1:13" x14ac:dyDescent="0.25">
      <c r="A31" s="15" t="s">
        <v>14</v>
      </c>
      <c r="B31" s="15" t="s">
        <v>44</v>
      </c>
      <c r="C31" s="16">
        <v>0</v>
      </c>
      <c r="D31" s="16">
        <v>0</v>
      </c>
      <c r="E31" s="16"/>
      <c r="F31" s="16"/>
      <c r="G31" s="6">
        <f>IF(AND(ISNUMBER(D31),ISNUMBER(C31),C31&lt;&gt;0),D31/C31-1,"")</f>
      </c>
      <c r="H31" s="6">
        <f>IF(AND(ISNUMBER(E31),ISNUMBER(C31),C31&lt;&gt;0),E31/C31-1,"")</f>
      </c>
      <c r="I31" s="6">
        <f>IF(AND(ISNUMBER(E31),ISNUMBER(D31),D31&lt;&gt;0),E31/D31-1,"")</f>
      </c>
      <c r="J31" s="6">
        <f>IF(AND(ISNUMBER(F31),ISNUMBER(C31),C31&lt;&gt;0),F31/C31-1,"")</f>
      </c>
      <c r="K31" s="17">
        <f>IF(AND(ISNUMBER(D31),ISNUMBER(C31)),D31-C31,"")</f>
      </c>
      <c r="L31" s="17">
        <f>IF(AND(ISNUMBER(E31),ISNUMBER(C31)),E31-C31,"")</f>
      </c>
      <c r="M31" s="18" t="s">
        <v>40</v>
      </c>
    </row>
    <row r="32" spans="1:13" x14ac:dyDescent="0.25">
      <c r="A32" s="15" t="s">
        <v>14</v>
      </c>
      <c r="B32" s="15" t="s">
        <v>45</v>
      </c>
      <c r="C32" s="16">
        <v>1624</v>
      </c>
      <c r="D32" s="16">
        <v>1626</v>
      </c>
      <c r="E32" s="16">
        <v>1628</v>
      </c>
      <c r="F32" s="16">
        <v>1628</v>
      </c>
      <c r="G32" s="6">
        <f>IF(AND(ISNUMBER(D32),ISNUMBER(C32),C32&lt;&gt;0),D32/C32-1,"")</f>
      </c>
      <c r="H32" s="6">
        <f>IF(AND(ISNUMBER(E32),ISNUMBER(C32),C32&lt;&gt;0),E32/C32-1,"")</f>
      </c>
      <c r="I32" s="6">
        <f>IF(AND(ISNUMBER(E32),ISNUMBER(D32),D32&lt;&gt;0),E32/D32-1,"")</f>
      </c>
      <c r="J32" s="6">
        <f>IF(AND(ISNUMBER(F32),ISNUMBER(C32),C32&lt;&gt;0),F32/C32-1,"")</f>
      </c>
      <c r="K32" s="17">
        <f>IF(AND(ISNUMBER(D32),ISNUMBER(C32)),D32-C32,"")</f>
      </c>
      <c r="L32" s="17">
        <f>IF(AND(ISNUMBER(E32),ISNUMBER(C32)),E32-C32,"")</f>
      </c>
      <c r="M32" s="18" t="s">
        <v>40</v>
      </c>
    </row>
    <row r="33" spans="1:13" x14ac:dyDescent="0.25">
      <c r="A33" s="15" t="s">
        <v>14</v>
      </c>
      <c r="B33" s="15" t="s">
        <v>46</v>
      </c>
      <c r="C33" s="16">
        <v>5826</v>
      </c>
      <c r="D33" s="16">
        <v>5819</v>
      </c>
      <c r="E33" s="16">
        <v>5842</v>
      </c>
      <c r="F33" s="16">
        <v>5842</v>
      </c>
      <c r="G33" s="6">
        <f>IF(AND(ISNUMBER(D33),ISNUMBER(C33),C33&lt;&gt;0),D33/C33-1,"")</f>
      </c>
      <c r="H33" s="6">
        <f>IF(AND(ISNUMBER(E33),ISNUMBER(C33),C33&lt;&gt;0),E33/C33-1,"")</f>
      </c>
      <c r="I33" s="6">
        <f>IF(AND(ISNUMBER(E33),ISNUMBER(D33),D33&lt;&gt;0),E33/D33-1,"")</f>
      </c>
      <c r="J33" s="6">
        <f>IF(AND(ISNUMBER(F33),ISNUMBER(C33),C33&lt;&gt;0),F33/C33-1,"")</f>
      </c>
      <c r="K33" s="17">
        <f>IF(AND(ISNUMBER(D33),ISNUMBER(C33)),D33-C33,"")</f>
      </c>
      <c r="L33" s="17">
        <f>IF(AND(ISNUMBER(E33),ISNUMBER(C33)),E33-C33,"")</f>
      </c>
      <c r="M33" s="18" t="s">
        <v>40</v>
      </c>
    </row>
    <row r="34" spans="1:13" x14ac:dyDescent="0.25">
      <c r="A34" s="15" t="s">
        <v>14</v>
      </c>
      <c r="B34" s="15" t="s">
        <v>47</v>
      </c>
      <c r="C34" s="16">
        <v>4880</v>
      </c>
      <c r="D34" s="16">
        <v>4884</v>
      </c>
      <c r="E34" s="16">
        <v>4888</v>
      </c>
      <c r="F34" s="16">
        <v>4888</v>
      </c>
      <c r="G34" s="6">
        <f>IF(AND(ISNUMBER(D34),ISNUMBER(C34),C34&lt;&gt;0),D34/C34-1,"")</f>
      </c>
      <c r="H34" s="6">
        <f>IF(AND(ISNUMBER(E34),ISNUMBER(C34),C34&lt;&gt;0),E34/C34-1,"")</f>
      </c>
      <c r="I34" s="6">
        <f>IF(AND(ISNUMBER(E34),ISNUMBER(D34),D34&lt;&gt;0),E34/D34-1,"")</f>
      </c>
      <c r="J34" s="6">
        <f>IF(AND(ISNUMBER(F34),ISNUMBER(C34),C34&lt;&gt;0),F34/C34-1,"")</f>
      </c>
      <c r="K34" s="17">
        <f>IF(AND(ISNUMBER(D34),ISNUMBER(C34)),D34-C34,"")</f>
      </c>
      <c r="L34" s="17">
        <f>IF(AND(ISNUMBER(E34),ISNUMBER(C34)),E34-C34,"")</f>
      </c>
      <c r="M34" s="18" t="s">
        <v>40</v>
      </c>
    </row>
    <row r="35" spans="1:13" x14ac:dyDescent="0.25">
      <c r="A35" s="15" t="s">
        <v>14</v>
      </c>
      <c r="B35" s="15" t="s">
        <v>48</v>
      </c>
      <c r="C35" s="16">
        <v>2284</v>
      </c>
      <c r="D35" s="16">
        <v>2286</v>
      </c>
      <c r="E35" s="16">
        <v>2285</v>
      </c>
      <c r="F35" s="16">
        <v>2285</v>
      </c>
      <c r="G35" s="6">
        <f>IF(AND(ISNUMBER(D35),ISNUMBER(C35),C35&lt;&gt;0),D35/C35-1,"")</f>
      </c>
      <c r="H35" s="6">
        <f>IF(AND(ISNUMBER(E35),ISNUMBER(C35),C35&lt;&gt;0),E35/C35-1,"")</f>
      </c>
      <c r="I35" s="6">
        <f>IF(AND(ISNUMBER(E35),ISNUMBER(D35),D35&lt;&gt;0),E35/D35-1,"")</f>
      </c>
      <c r="J35" s="6">
        <f>IF(AND(ISNUMBER(F35),ISNUMBER(C35),C35&lt;&gt;0),F35/C35-1,"")</f>
      </c>
      <c r="K35" s="17">
        <f>IF(AND(ISNUMBER(D35),ISNUMBER(C35)),D35-C35,"")</f>
      </c>
      <c r="L35" s="17">
        <f>IF(AND(ISNUMBER(E35),ISNUMBER(C35)),E35-C35,"")</f>
      </c>
      <c r="M35" s="18" t="s">
        <v>40</v>
      </c>
    </row>
    <row r="36" spans="1:13" x14ac:dyDescent="0.25">
      <c r="A36" s="8" t="s">
        <v>14</v>
      </c>
      <c r="B36" s="8" t="s">
        <v>49</v>
      </c>
      <c r="C36" s="19">
        <f>SUM(C27:C35)</f>
      </c>
      <c r="D36" s="19">
        <f>SUM(D27:D35)</f>
      </c>
      <c r="E36" s="19">
        <f>SUM(E27:E35)</f>
      </c>
      <c r="F36" s="19">
        <f>SUM(F27:F35)</f>
      </c>
      <c r="G36" s="10">
        <f>IF(AND(ISNUMBER(D36),ISNUMBER(C36),C36&lt;&gt;0),D36/C36-1,"")</f>
      </c>
      <c r="H36" s="10">
        <f>IF(AND(ISNUMBER(E36),ISNUMBER(C36),C36&lt;&gt;0),E36/C36-1,"")</f>
      </c>
      <c r="I36" s="10">
        <f>IF(AND(ISNUMBER(E36),ISNUMBER(D36),D36&lt;&gt;0),E36/D36-1,"")</f>
      </c>
      <c r="J36" s="10">
        <f>IF(AND(ISNUMBER(F36),ISNUMBER(C36),C36&lt;&gt;0),F36/C36-1,"")</f>
      </c>
      <c r="K36" s="20">
        <f>IF(AND(ISNUMBER(D36),ISNUMBER(C36)),D36-C36,"")</f>
      </c>
      <c r="L36" s="20">
        <f>IF(AND(ISNUMBER(E36),ISNUMBER(C36)),E36-C36,"")</f>
      </c>
      <c r="M36" s="21"/>
    </row>
    <row r="37" spans="1:1" x14ac:dyDescent="0.25"/>
    <row r="38" spans="1:13" x14ac:dyDescent="0.25">
      <c r="A38" s="15" t="s">
        <v>16</v>
      </c>
      <c r="B38" s="15" t="s">
        <v>39</v>
      </c>
      <c r="C38" s="16">
        <v>7048</v>
      </c>
      <c r="D38" s="16">
        <v>7045.21</v>
      </c>
      <c r="E38" s="16">
        <v>7039</v>
      </c>
      <c r="F38" s="16">
        <v>7039</v>
      </c>
      <c r="G38" s="6">
        <f>IF(AND(ISNUMBER(D38),ISNUMBER(C38),C38&lt;&gt;0),D38/C38-1,"")</f>
      </c>
      <c r="H38" s="6">
        <f>IF(AND(ISNUMBER(E38),ISNUMBER(C38),C38&lt;&gt;0),E38/C38-1,"")</f>
      </c>
      <c r="I38" s="6">
        <f>IF(AND(ISNUMBER(E38),ISNUMBER(D38),D38&lt;&gt;0),E38/D38-1,"")</f>
      </c>
      <c r="J38" s="6">
        <f>IF(AND(ISNUMBER(F38),ISNUMBER(C38),C38&lt;&gt;0),F38/C38-1,"")</f>
      </c>
      <c r="K38" s="17">
        <f>IF(AND(ISNUMBER(D38),ISNUMBER(C38)),D38-C38,"")</f>
      </c>
      <c r="L38" s="17">
        <f>IF(AND(ISNUMBER(E38),ISNUMBER(C38)),E38-C38,"")</f>
      </c>
      <c r="M38" s="18" t="s">
        <v>40</v>
      </c>
    </row>
    <row r="39" spans="1:13" x14ac:dyDescent="0.25">
      <c r="A39" s="15" t="s">
        <v>16</v>
      </c>
      <c r="B39" s="15" t="s">
        <v>41</v>
      </c>
      <c r="C39" s="16">
        <v>9151</v>
      </c>
      <c r="D39" s="16">
        <v>9128.73</v>
      </c>
      <c r="E39" s="16">
        <v>9127</v>
      </c>
      <c r="F39" s="16">
        <v>9127</v>
      </c>
      <c r="G39" s="6">
        <f>IF(AND(ISNUMBER(D39),ISNUMBER(C39),C39&lt;&gt;0),D39/C39-1,"")</f>
      </c>
      <c r="H39" s="6">
        <f>IF(AND(ISNUMBER(E39),ISNUMBER(C39),C39&lt;&gt;0),E39/C39-1,"")</f>
      </c>
      <c r="I39" s="6">
        <f>IF(AND(ISNUMBER(E39),ISNUMBER(D39),D39&lt;&gt;0),E39/D39-1,"")</f>
      </c>
      <c r="J39" s="6">
        <f>IF(AND(ISNUMBER(F39),ISNUMBER(C39),C39&lt;&gt;0),F39/C39-1,"")</f>
      </c>
      <c r="K39" s="17">
        <f>IF(AND(ISNUMBER(D39),ISNUMBER(C39)),D39-C39,"")</f>
      </c>
      <c r="L39" s="17">
        <f>IF(AND(ISNUMBER(E39),ISNUMBER(C39)),E39-C39,"")</f>
      </c>
      <c r="M39" s="18" t="s">
        <v>40</v>
      </c>
    </row>
    <row r="40" spans="1:13" x14ac:dyDescent="0.25">
      <c r="A40" s="15" t="s">
        <v>16</v>
      </c>
      <c r="B40" s="15" t="s">
        <v>42</v>
      </c>
      <c r="C40" s="16">
        <v>8768</v>
      </c>
      <c r="D40" s="16">
        <v>8766.31</v>
      </c>
      <c r="E40" s="16">
        <v>8781</v>
      </c>
      <c r="F40" s="16">
        <v>8781</v>
      </c>
      <c r="G40" s="6">
        <f>IF(AND(ISNUMBER(D40),ISNUMBER(C40),C40&lt;&gt;0),D40/C40-1,"")</f>
      </c>
      <c r="H40" s="6">
        <f>IF(AND(ISNUMBER(E40),ISNUMBER(C40),C40&lt;&gt;0),E40/C40-1,"")</f>
      </c>
      <c r="I40" s="6">
        <f>IF(AND(ISNUMBER(E40),ISNUMBER(D40),D40&lt;&gt;0),E40/D40-1,"")</f>
      </c>
      <c r="J40" s="6">
        <f>IF(AND(ISNUMBER(F40),ISNUMBER(C40),C40&lt;&gt;0),F40/C40-1,"")</f>
      </c>
      <c r="K40" s="17">
        <f>IF(AND(ISNUMBER(D40),ISNUMBER(C40)),D40-C40,"")</f>
      </c>
      <c r="L40" s="17">
        <f>IF(AND(ISNUMBER(E40),ISNUMBER(C40)),E40-C40,"")</f>
      </c>
      <c r="M40" s="18" t="s">
        <v>40</v>
      </c>
    </row>
    <row r="41" spans="1:13" x14ac:dyDescent="0.25">
      <c r="A41" s="15" t="s">
        <v>16</v>
      </c>
      <c r="B41" s="15" t="s">
        <v>43</v>
      </c>
      <c r="C41" s="16">
        <v>7301</v>
      </c>
      <c r="D41" s="16">
        <v>7300.24</v>
      </c>
      <c r="E41" s="16">
        <v>7304</v>
      </c>
      <c r="F41" s="16">
        <v>7304</v>
      </c>
      <c r="G41" s="6">
        <f>IF(AND(ISNUMBER(D41),ISNUMBER(C41),C41&lt;&gt;0),D41/C41-1,"")</f>
      </c>
      <c r="H41" s="6">
        <f>IF(AND(ISNUMBER(E41),ISNUMBER(C41),C41&lt;&gt;0),E41/C41-1,"")</f>
      </c>
      <c r="I41" s="6">
        <f>IF(AND(ISNUMBER(E41),ISNUMBER(D41),D41&lt;&gt;0),E41/D41-1,"")</f>
      </c>
      <c r="J41" s="6">
        <f>IF(AND(ISNUMBER(F41),ISNUMBER(C41),C41&lt;&gt;0),F41/C41-1,"")</f>
      </c>
      <c r="K41" s="17">
        <f>IF(AND(ISNUMBER(D41),ISNUMBER(C41)),D41-C41,"")</f>
      </c>
      <c r="L41" s="17">
        <f>IF(AND(ISNUMBER(E41),ISNUMBER(C41)),E41-C41,"")</f>
      </c>
      <c r="M41" s="18" t="s">
        <v>40</v>
      </c>
    </row>
    <row r="42" spans="1:13" x14ac:dyDescent="0.25">
      <c r="A42" s="15" t="s">
        <v>16</v>
      </c>
      <c r="B42" s="15" t="s">
        <v>44</v>
      </c>
      <c r="C42" s="16">
        <v>2554</v>
      </c>
      <c r="D42" s="16">
        <v>2553.88</v>
      </c>
      <c r="E42" s="16">
        <v>2557</v>
      </c>
      <c r="F42" s="16">
        <v>2557</v>
      </c>
      <c r="G42" s="6">
        <f>IF(AND(ISNUMBER(D42),ISNUMBER(C42),C42&lt;&gt;0),D42/C42-1,"")</f>
      </c>
      <c r="H42" s="6">
        <f>IF(AND(ISNUMBER(E42),ISNUMBER(C42),C42&lt;&gt;0),E42/C42-1,"")</f>
      </c>
      <c r="I42" s="6">
        <f>IF(AND(ISNUMBER(E42),ISNUMBER(D42),D42&lt;&gt;0),E42/D42-1,"")</f>
      </c>
      <c r="J42" s="6">
        <f>IF(AND(ISNUMBER(F42),ISNUMBER(C42),C42&lt;&gt;0),F42/C42-1,"")</f>
      </c>
      <c r="K42" s="17">
        <f>IF(AND(ISNUMBER(D42),ISNUMBER(C42)),D42-C42,"")</f>
      </c>
      <c r="L42" s="17">
        <f>IF(AND(ISNUMBER(E42),ISNUMBER(C42)),E42-C42,"")</f>
      </c>
      <c r="M42" s="18" t="s">
        <v>40</v>
      </c>
    </row>
    <row r="43" spans="1:13" x14ac:dyDescent="0.25">
      <c r="A43" s="15" t="s">
        <v>16</v>
      </c>
      <c r="B43" s="15" t="s">
        <v>45</v>
      </c>
      <c r="C43" s="16">
        <v>622</v>
      </c>
      <c r="D43" s="16">
        <v>621.75</v>
      </c>
      <c r="E43" s="16"/>
      <c r="F43" s="16"/>
      <c r="G43" s="6">
        <f>IF(AND(ISNUMBER(D43),ISNUMBER(C43),C43&lt;&gt;0),D43/C43-1,"")</f>
      </c>
      <c r="H43" s="6">
        <f>IF(AND(ISNUMBER(E43),ISNUMBER(C43),C43&lt;&gt;0),E43/C43-1,"")</f>
      </c>
      <c r="I43" s="6">
        <f>IF(AND(ISNUMBER(E43),ISNUMBER(D43),D43&lt;&gt;0),E43/D43-1,"")</f>
      </c>
      <c r="J43" s="6">
        <f>IF(AND(ISNUMBER(F43),ISNUMBER(C43),C43&lt;&gt;0),F43/C43-1,"")</f>
      </c>
      <c r="K43" s="17">
        <f>IF(AND(ISNUMBER(D43),ISNUMBER(C43)),D43-C43,"")</f>
      </c>
      <c r="L43" s="17">
        <f>IF(AND(ISNUMBER(E43),ISNUMBER(C43)),E43-C43,"")</f>
      </c>
      <c r="M43" s="18" t="s">
        <v>53</v>
      </c>
    </row>
    <row r="44" spans="1:13" x14ac:dyDescent="0.25">
      <c r="A44" s="15" t="s">
        <v>16</v>
      </c>
      <c r="B44" s="15" t="s">
        <v>46</v>
      </c>
      <c r="C44" s="16">
        <v>278</v>
      </c>
      <c r="D44" s="16">
        <v>277.76</v>
      </c>
      <c r="E44" s="16">
        <v>276</v>
      </c>
      <c r="F44" s="16">
        <v>276</v>
      </c>
      <c r="G44" s="6">
        <f>IF(AND(ISNUMBER(D44),ISNUMBER(C44),C44&lt;&gt;0),D44/C44-1,"")</f>
      </c>
      <c r="H44" s="6">
        <f>IF(AND(ISNUMBER(E44),ISNUMBER(C44),C44&lt;&gt;0),E44/C44-1,"")</f>
      </c>
      <c r="I44" s="6">
        <f>IF(AND(ISNUMBER(E44),ISNUMBER(D44),D44&lt;&gt;0),E44/D44-1,"")</f>
      </c>
      <c r="J44" s="6">
        <f>IF(AND(ISNUMBER(F44),ISNUMBER(C44),C44&lt;&gt;0),F44/C44-1,"")</f>
      </c>
      <c r="K44" s="17">
        <f>IF(AND(ISNUMBER(D44),ISNUMBER(C44)),D44-C44,"")</f>
      </c>
      <c r="L44" s="17">
        <f>IF(AND(ISNUMBER(E44),ISNUMBER(C44)),E44-C44,"")</f>
      </c>
      <c r="M44" s="18" t="s">
        <v>40</v>
      </c>
    </row>
    <row r="45" spans="1:13" x14ac:dyDescent="0.25">
      <c r="A45" s="15" t="s">
        <v>16</v>
      </c>
      <c r="B45" s="15" t="s">
        <v>47</v>
      </c>
      <c r="C45" s="16">
        <v>1198</v>
      </c>
      <c r="D45" s="16">
        <v>1198.46</v>
      </c>
      <c r="E45" s="16">
        <v>1192</v>
      </c>
      <c r="F45" s="16">
        <v>1192</v>
      </c>
      <c r="G45" s="6">
        <f>IF(AND(ISNUMBER(D45),ISNUMBER(C45),C45&lt;&gt;0),D45/C45-1,"")</f>
      </c>
      <c r="H45" s="6">
        <f>IF(AND(ISNUMBER(E45),ISNUMBER(C45),C45&lt;&gt;0),E45/C45-1,"")</f>
      </c>
      <c r="I45" s="6">
        <f>IF(AND(ISNUMBER(E45),ISNUMBER(D45),D45&lt;&gt;0),E45/D45-1,"")</f>
      </c>
      <c r="J45" s="6">
        <f>IF(AND(ISNUMBER(F45),ISNUMBER(C45),C45&lt;&gt;0),F45/C45-1,"")</f>
      </c>
      <c r="K45" s="17">
        <f>IF(AND(ISNUMBER(D45),ISNUMBER(C45)),D45-C45,"")</f>
      </c>
      <c r="L45" s="17">
        <f>IF(AND(ISNUMBER(E45),ISNUMBER(C45)),E45-C45,"")</f>
      </c>
      <c r="M45" s="18" t="s">
        <v>40</v>
      </c>
    </row>
    <row r="46" spans="1:13" x14ac:dyDescent="0.25">
      <c r="A46" s="15" t="s">
        <v>16</v>
      </c>
      <c r="B46" s="15" t="s">
        <v>48</v>
      </c>
      <c r="C46" s="16">
        <v>4495</v>
      </c>
      <c r="D46" s="16">
        <v>4495.91</v>
      </c>
      <c r="E46" s="16">
        <v>4499</v>
      </c>
      <c r="F46" s="16">
        <v>4499</v>
      </c>
      <c r="G46" s="6">
        <f>IF(AND(ISNUMBER(D46),ISNUMBER(C46),C46&lt;&gt;0),D46/C46-1,"")</f>
      </c>
      <c r="H46" s="6">
        <f>IF(AND(ISNUMBER(E46),ISNUMBER(C46),C46&lt;&gt;0),E46/C46-1,"")</f>
      </c>
      <c r="I46" s="6">
        <f>IF(AND(ISNUMBER(E46),ISNUMBER(D46),D46&lt;&gt;0),E46/D46-1,"")</f>
      </c>
      <c r="J46" s="6">
        <f>IF(AND(ISNUMBER(F46),ISNUMBER(C46),C46&lt;&gt;0),F46/C46-1,"")</f>
      </c>
      <c r="K46" s="17">
        <f>IF(AND(ISNUMBER(D46),ISNUMBER(C46)),D46-C46,"")</f>
      </c>
      <c r="L46" s="17">
        <f>IF(AND(ISNUMBER(E46),ISNUMBER(C46)),E46-C46,"")</f>
      </c>
      <c r="M46" s="18" t="s">
        <v>40</v>
      </c>
    </row>
    <row r="47" spans="1:13" x14ac:dyDescent="0.25">
      <c r="A47" s="8" t="s">
        <v>16</v>
      </c>
      <c r="B47" s="8" t="s">
        <v>49</v>
      </c>
      <c r="C47" s="19">
        <f>SUM(C38:C46)</f>
      </c>
      <c r="D47" s="19">
        <f>SUM(D38:D46)</f>
      </c>
      <c r="E47" s="19">
        <f>SUM(E38:E46)</f>
      </c>
      <c r="F47" s="19">
        <f>SUM(F38:F46)</f>
      </c>
      <c r="G47" s="10">
        <f>IF(AND(ISNUMBER(D47),ISNUMBER(C47),C47&lt;&gt;0),D47/C47-1,"")</f>
      </c>
      <c r="H47" s="10">
        <f>IF(AND(ISNUMBER(E47),ISNUMBER(C47),C47&lt;&gt;0),E47/C47-1,"")</f>
      </c>
      <c r="I47" s="10">
        <f>IF(AND(ISNUMBER(E47),ISNUMBER(D47),D47&lt;&gt;0),E47/D47-1,"")</f>
      </c>
      <c r="J47" s="10">
        <f>IF(AND(ISNUMBER(F47),ISNUMBER(C47),C47&lt;&gt;0),F47/C47-1,"")</f>
      </c>
      <c r="K47" s="20">
        <f>IF(AND(ISNUMBER(D47),ISNUMBER(C47)),D47-C47,"")</f>
      </c>
      <c r="L47" s="20">
        <f>IF(AND(ISNUMBER(E47),ISNUMBER(C47)),E47-C47,"")</f>
      </c>
      <c r="M47" s="21"/>
    </row>
    <row r="48" spans="1:1" x14ac:dyDescent="0.25"/>
    <row r="49" spans="1:13" x14ac:dyDescent="0.25">
      <c r="A49" s="22" t="s">
        <v>18</v>
      </c>
      <c r="B49" s="22" t="s">
        <v>54</v>
      </c>
      <c r="C49" s="23">
        <f>C14+C25+C36+C47</f>
      </c>
      <c r="D49" s="23">
        <f>D14+D25+D36+D47</f>
      </c>
      <c r="E49" s="23">
        <f>E14+E25+E36+E47</f>
      </c>
      <c r="F49" s="23">
        <f>F14+F25+F36+F47</f>
      </c>
      <c r="G49" s="24">
        <f>IF(AND(ISNUMBER(D49),ISNUMBER(C49),C49&lt;&gt;0),D49/C49-1,"")</f>
      </c>
      <c r="H49" s="24">
        <f>IF(AND(ISNUMBER(E49),ISNUMBER(C49),C49&lt;&gt;0),E49/C49-1,"")</f>
      </c>
      <c r="I49" s="24">
        <f>IF(AND(ISNUMBER(E49),ISNUMBER(D49),D49&lt;&gt;0),E49/D49-1,"")</f>
      </c>
      <c r="J49" s="24">
        <f>IF(AND(ISNUMBER(F49),ISNUMBER(C49),C49&lt;&gt;0),F49/C49-1,"")</f>
      </c>
      <c r="K49" s="25">
        <f>IF(AND(ISNUMBER(D49),ISNUMBER(C49)),D49-C49,"")</f>
      </c>
      <c r="L49" s="25">
        <f>IF(AND(ISNUMBER(E49),ISNUMBER(C49)),E49-C49,"")</f>
      </c>
      <c r="M49" s="26"/>
    </row>
    <row r="51" ht="28" customHeight="1" spans="1:13" x14ac:dyDescent="0.25">
      <c r="A51" s="27" t="s">
        <v>55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ht="28" customHeight="1" spans="1:13" x14ac:dyDescent="0.25">
      <c r="A52" s="27" t="s">
        <v>56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ht="28" customHeight="1" spans="1:13" x14ac:dyDescent="0.25">
      <c r="A53" s="27" t="s">
        <v>57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</sheetData>
  <mergeCells count="8">
    <mergeCell ref="A1:M1"/>
    <mergeCell ref="A2:M2"/>
    <mergeCell ref="C3:F3"/>
    <mergeCell ref="G3:J3"/>
    <mergeCell ref="K3:L3"/>
    <mergeCell ref="A51:M51"/>
    <mergeCell ref="A52:M52"/>
    <mergeCell ref="A53:M53"/>
  </mergeCells>
  <conditionalFormatting sqref="G5:J49">
    <cfRule type="expression" dxfId="3" priority="1">
      <formula>AND(ISNUMBER(G5),ABS(G5)&lt;=0.01)</formula>
    </cfRule>
    <cfRule type="expression" dxfId="4" priority="2">
      <formula>AND(ISNUMBER(G5),ABS(G5)&lt;=0.05)</formula>
    </cfRule>
    <cfRule type="expression" dxfId="5" priority="3">
      <formula>ISNUMBER(G5)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8" customWidth="1"/>
    <col min="3" max="4" width="15" customWidth="1"/>
    <col min="5" max="7" width="13" customWidth="1"/>
    <col min="8" max="8" width="50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30" customHeight="1" spans="1:8" x14ac:dyDescent="0.25">
      <c r="A5" s="4" t="s">
        <v>10</v>
      </c>
      <c r="B5" s="5">
        <f>Gasto!C14</f>
      </c>
      <c r="C5" s="5">
        <f>Gasto!D14</f>
      </c>
      <c r="D5" s="5">
        <f>Gasto!E14</f>
      </c>
      <c r="E5" s="6">
        <f>IF(AND(ISNUMBER(C5),ISNUMBER(B5),B5&lt;&gt;0),C5/B5-1,"")</f>
      </c>
      <c r="F5" s="6">
        <f>IF(AND(ISNUMBER(D5),ISNUMBER(B5),B5&lt;&gt;0),D5/B5-1,"")</f>
      </c>
      <c r="G5" s="6">
        <f>IF(AND(ISNUMBER(D5),ISNUMBER(C5),C5&lt;&gt;0),D5/C5-1,"")</f>
      </c>
      <c r="H5" s="7" t="s">
        <v>11</v>
      </c>
    </row>
    <row r="6" ht="30" customHeight="1" spans="1:8" x14ac:dyDescent="0.25">
      <c r="A6" s="4" t="s">
        <v>12</v>
      </c>
      <c r="B6" s="5">
        <f>Gasto!C25</f>
      </c>
      <c r="C6" s="5">
        <f>Gasto!D25</f>
      </c>
      <c r="D6" s="5">
        <f>Gasto!E25</f>
      </c>
      <c r="E6" s="6">
        <f>IF(AND(ISNUMBER(C6),ISNUMBER(B6),B6&lt;&gt;0),C6/B6-1,"")</f>
      </c>
      <c r="F6" s="6">
        <f>IF(AND(ISNUMBER(D6),ISNUMBER(B6),B6&lt;&gt;0),D6/B6-1,"")</f>
      </c>
      <c r="G6" s="6">
        <f>IF(AND(ISNUMBER(D6),ISNUMBER(C6),C6&lt;&gt;0),D6/C6-1,"")</f>
      </c>
      <c r="H6" s="7" t="s">
        <v>13</v>
      </c>
    </row>
    <row r="7" ht="30" customHeight="1" spans="1:8" x14ac:dyDescent="0.25">
      <c r="A7" s="4" t="s">
        <v>14</v>
      </c>
      <c r="B7" s="5">
        <f>Gasto!C36</f>
      </c>
      <c r="C7" s="5">
        <f>Gasto!D36</f>
      </c>
      <c r="D7" s="5">
        <f>Gasto!E36</f>
      </c>
      <c r="E7" s="6">
        <f>IF(AND(ISNUMBER(C7),ISNUMBER(B7),B7&lt;&gt;0),C7/B7-1,"")</f>
      </c>
      <c r="F7" s="6">
        <f>IF(AND(ISNUMBER(D7),ISNUMBER(B7),B7&lt;&gt;0),D7/B7-1,"")</f>
      </c>
      <c r="G7" s="6">
        <f>IF(AND(ISNUMBER(D7),ISNUMBER(C7),C7&lt;&gt;0),D7/C7-1,"")</f>
      </c>
      <c r="H7" s="7" t="s">
        <v>15</v>
      </c>
    </row>
    <row r="8" ht="30" customHeight="1" spans="1:8" x14ac:dyDescent="0.25">
      <c r="A8" s="4" t="s">
        <v>16</v>
      </c>
      <c r="B8" s="5">
        <f>Gasto!C47</f>
      </c>
      <c r="C8" s="5">
        <f>Gasto!D47</f>
      </c>
      <c r="D8" s="5">
        <f>Gasto!E47</f>
      </c>
      <c r="E8" s="6">
        <f>IF(AND(ISNUMBER(C8),ISNUMBER(B8),B8&lt;&gt;0),C8/B8-1,"")</f>
      </c>
      <c r="F8" s="6">
        <f>IF(AND(ISNUMBER(D8),ISNUMBER(B8),B8&lt;&gt;0),D8/B8-1,"")</f>
      </c>
      <c r="G8" s="6">
        <f>IF(AND(ISNUMBER(D8),ISNUMBER(C8),C8&lt;&gt;0),D8/C8-1,"")</f>
      </c>
      <c r="H8" s="7" t="s">
        <v>17</v>
      </c>
    </row>
    <row r="9" ht="30" customHeight="1" spans="1:8" x14ac:dyDescent="0.25">
      <c r="A9" s="8" t="s">
        <v>18</v>
      </c>
      <c r="B9" s="9">
        <f>SUM(B5:B8)</f>
      </c>
      <c r="C9" s="9">
        <f>SUM(C5:C8)</f>
      </c>
      <c r="D9" s="9">
        <f>SUM(D5:D8)</f>
      </c>
      <c r="E9" s="10">
        <f>IF(AND(ISNUMBER(C9),ISNUMBER(B9),B9&lt;&gt;0),C9/B9-1,"")</f>
      </c>
      <c r="F9" s="10">
        <f>IF(AND(ISNUMBER(D9),ISNUMBER(B9),B9&lt;&gt;0),D9/B9-1,"")</f>
      </c>
      <c r="G9" s="10">
        <f>IF(AND(ISNUMBER(D9),ISNUMBER(C9),C9&lt;&gt;0),D9/C9-1,"")</f>
      </c>
      <c r="H9" s="11" t="s">
        <v>19</v>
      </c>
    </row>
    <row r="11" ht="18" customHeight="1" spans="1:8" x14ac:dyDescent="0.25">
      <c r="A11" s="12" t="s">
        <v>20</v>
      </c>
      <c r="B11" s="12"/>
      <c r="C11" s="12"/>
      <c r="D11" s="12"/>
      <c r="E11" s="12"/>
      <c r="F11" s="12"/>
      <c r="G11" s="12"/>
      <c r="H11" s="12"/>
    </row>
    <row r="12" ht="30" customHeight="1" spans="1:8" x14ac:dyDescent="0.25">
      <c r="A12" s="13" t="s">
        <v>21</v>
      </c>
      <c r="B12" s="13"/>
      <c r="C12" s="13"/>
      <c r="D12" s="13"/>
      <c r="E12" s="13"/>
      <c r="F12" s="13"/>
      <c r="G12" s="13"/>
      <c r="H12" s="13"/>
    </row>
    <row r="13" ht="30" customHeight="1" spans="1:8" x14ac:dyDescent="0.25">
      <c r="A13" s="13" t="s">
        <v>22</v>
      </c>
      <c r="B13" s="13"/>
      <c r="C13" s="13"/>
      <c r="D13" s="13"/>
      <c r="E13" s="13"/>
      <c r="F13" s="13"/>
      <c r="G13" s="13"/>
      <c r="H13" s="13"/>
    </row>
    <row r="14" ht="30" customHeight="1" spans="1:8" x14ac:dyDescent="0.25">
      <c r="A14" s="13" t="s">
        <v>23</v>
      </c>
      <c r="B14" s="13"/>
      <c r="C14" s="13"/>
      <c r="D14" s="13"/>
      <c r="E14" s="13"/>
      <c r="F14" s="13"/>
      <c r="G14" s="13"/>
      <c r="H14" s="13"/>
    </row>
    <row r="15" ht="30" customHeight="1" spans="1:8" x14ac:dyDescent="0.25">
      <c r="A15" s="13" t="s">
        <v>24</v>
      </c>
      <c r="B15" s="13"/>
      <c r="C15" s="13"/>
      <c r="D15" s="13"/>
      <c r="E15" s="13"/>
      <c r="F15" s="13"/>
      <c r="G15" s="13"/>
      <c r="H15" s="13"/>
    </row>
  </sheetData>
  <mergeCells count="7">
    <mergeCell ref="A1:H1"/>
    <mergeCell ref="A2:H2"/>
    <mergeCell ref="A11:H11"/>
    <mergeCell ref="A12:H12"/>
    <mergeCell ref="A13:H13"/>
    <mergeCell ref="A14:H14"/>
    <mergeCell ref="A15:H15"/>
  </mergeCells>
  <conditionalFormatting sqref="E5:G9">
    <cfRule type="expression" dxfId="0" priority="1">
      <formula>AND(ISNUMBER(E5),ABS(E5)&lt;=0.01)</formula>
    </cfRule>
    <cfRule type="expression" dxfId="1" priority="2">
      <formula>AND(ISNUMBER(E5),ABS(E5)&lt;=0.05)</formula>
    </cfRule>
    <cfRule type="expression" dxfId="2" priority="3">
      <formula>ISNUMBER(E5)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3" width="60" customWidth="1"/>
    <col min="4" max="4" width="30" customWidth="1"/>
    <col min="5" max="5" width="50" customWidth="1"/>
    <col min="6" max="6" width="58" customWidth="1"/>
  </cols>
  <sheetData>
    <row r="1" ht="24" customHeight="1" spans="1:6" x14ac:dyDescent="0.25">
      <c r="A1" s="1" t="s">
        <v>58</v>
      </c>
      <c r="B1" s="1"/>
      <c r="C1" s="1"/>
      <c r="D1" s="1"/>
      <c r="E1" s="1"/>
      <c r="F1" s="1"/>
    </row>
    <row r="2" ht="30" customHeight="1" spans="1:6" x14ac:dyDescent="0.25">
      <c r="A2" s="2" t="s">
        <v>59</v>
      </c>
      <c r="B2" s="2"/>
      <c r="C2" s="2"/>
      <c r="D2" s="2"/>
      <c r="E2" s="2"/>
      <c r="F2" s="2"/>
    </row>
    <row r="4" spans="1:6" x14ac:dyDescent="0.25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</row>
    <row r="5" ht="200" customHeight="1" spans="1:6" x14ac:dyDescent="0.25">
      <c r="A5" s="28" t="s">
        <v>66</v>
      </c>
      <c r="B5" s="29" t="s">
        <v>67</v>
      </c>
      <c r="C5" s="28" t="s">
        <v>68</v>
      </c>
      <c r="D5" s="28" t="s">
        <v>69</v>
      </c>
      <c r="E5" s="28" t="s">
        <v>70</v>
      </c>
      <c r="F5" s="30" t="s">
        <v>71</v>
      </c>
    </row>
    <row r="6" ht="170" customHeight="1" spans="1:6" x14ac:dyDescent="0.25">
      <c r="A6" s="28" t="s">
        <v>72</v>
      </c>
      <c r="B6" s="29" t="s">
        <v>73</v>
      </c>
      <c r="C6" s="28" t="s">
        <v>74</v>
      </c>
      <c r="D6" s="28" t="s">
        <v>75</v>
      </c>
      <c r="E6" s="28" t="s">
        <v>76</v>
      </c>
      <c r="F6" s="30" t="s">
        <v>77</v>
      </c>
    </row>
    <row r="7" ht="150" customHeight="1" spans="1:6" x14ac:dyDescent="0.25">
      <c r="A7" s="28" t="s">
        <v>78</v>
      </c>
      <c r="B7" s="29" t="s">
        <v>79</v>
      </c>
      <c r="C7" s="28" t="s">
        <v>80</v>
      </c>
      <c r="D7" s="28" t="s">
        <v>81</v>
      </c>
      <c r="E7" s="28" t="s">
        <v>82</v>
      </c>
      <c r="F7" s="30" t="s">
        <v>83</v>
      </c>
    </row>
    <row r="8" ht="70" customHeight="1" spans="1:6" x14ac:dyDescent="0.25">
      <c r="A8" s="28" t="s">
        <v>84</v>
      </c>
      <c r="B8" s="29" t="s">
        <v>85</v>
      </c>
      <c r="C8" s="28" t="s">
        <v>86</v>
      </c>
      <c r="D8" s="28" t="s">
        <v>87</v>
      </c>
      <c r="E8" s="28" t="s">
        <v>88</v>
      </c>
      <c r="F8" s="30" t="s">
        <v>89</v>
      </c>
    </row>
    <row r="10" ht="34" customHeight="1" spans="1:6" x14ac:dyDescent="0.25">
      <c r="A10" s="31" t="s">
        <v>90</v>
      </c>
      <c r="B10" s="31"/>
      <c r="C10" s="31"/>
      <c r="D10" s="31"/>
      <c r="E10" s="31"/>
      <c r="F10" s="31"/>
    </row>
  </sheetData>
  <mergeCells count="3">
    <mergeCell ref="A1:F1"/>
    <mergeCell ref="A2:F2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10" customWidth="1"/>
  </cols>
  <sheetData>
    <row r="1" ht="24" customHeight="1" spans="1:2" x14ac:dyDescent="0.25">
      <c r="A1" s="1" t="s">
        <v>91</v>
      </c>
      <c r="B1" s="1"/>
    </row>
    <row r="2" ht="30" customHeight="1" spans="1:2" x14ac:dyDescent="0.25">
      <c r="A2" s="2" t="s">
        <v>92</v>
      </c>
      <c r="B2" s="2"/>
    </row>
    <row r="4" ht="36" customHeight="1" spans="1:2" x14ac:dyDescent="0.25">
      <c r="A4" s="32" t="s">
        <v>93</v>
      </c>
      <c r="B4" s="28" t="s">
        <v>94</v>
      </c>
    </row>
    <row r="5" ht="36" customHeight="1" spans="1:2" x14ac:dyDescent="0.25">
      <c r="A5" s="32" t="s">
        <v>95</v>
      </c>
      <c r="B5" s="28" t="s">
        <v>96</v>
      </c>
    </row>
    <row r="6" ht="36" customHeight="1" spans="1:2" x14ac:dyDescent="0.25">
      <c r="A6" s="32" t="s">
        <v>2</v>
      </c>
      <c r="B6" s="28" t="s">
        <v>97</v>
      </c>
    </row>
    <row r="7" ht="36" customHeight="1" spans="1:2" x14ac:dyDescent="0.25">
      <c r="A7" s="32" t="s">
        <v>4</v>
      </c>
      <c r="B7" s="28" t="s">
        <v>98</v>
      </c>
    </row>
    <row r="8" ht="36" customHeight="1" spans="1:2" x14ac:dyDescent="0.25">
      <c r="A8" s="32" t="s">
        <v>5</v>
      </c>
      <c r="B8" s="28" t="s">
        <v>99</v>
      </c>
    </row>
    <row r="9" ht="36" customHeight="1" spans="1:2" x14ac:dyDescent="0.25">
      <c r="A9" s="32" t="s">
        <v>100</v>
      </c>
      <c r="B9" s="28" t="s">
        <v>101</v>
      </c>
    </row>
    <row r="10" ht="36" customHeight="1" spans="1:2" x14ac:dyDescent="0.25">
      <c r="A10" s="32" t="s">
        <v>102</v>
      </c>
      <c r="B10" s="28" t="s">
        <v>103</v>
      </c>
    </row>
    <row r="11" ht="36" customHeight="1" spans="1:2" x14ac:dyDescent="0.25">
      <c r="A11" s="32" t="s">
        <v>104</v>
      </c>
      <c r="B11" s="28" t="s">
        <v>105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Gasto</vt:lpstr>
      <vt:lpstr>Hallazgos para DE</vt:lpstr>
      <vt:lpstr>Metodología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2026-09-24T18:15:18Z</dcterms:created>
  <dcterms:modified xsi:type="dcterms:W3CDTF">2026-09-24T18:15:18Z</dcterms:modified>
</cp:coreProperties>
</file>