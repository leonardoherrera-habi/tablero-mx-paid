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Gasto" state="visible" r:id="rId5"/>
    <sheet sheetId="3" name="Clics" state="visible" r:id="rId6"/>
    <sheet sheetId="4" name="Impresiones" state="visible" r:id="rId7"/>
    <sheet sheetId="5" name="Hallazgos para DE" state="visible" r:id="rId8"/>
    <sheet sheetId="6" name="Metodología" state="visible" r:id="rId9"/>
  </sheets>
  <calcPr calcId="171027"/>
</workbook>
</file>

<file path=xl/sharedStrings.xml><?xml version="1.0" encoding="utf-8"?>
<sst xmlns="http://schemas.openxmlformats.org/spreadsheetml/2006/main" count="392" uniqueCount="110">
  <si>
    <t>Comparativa inversión de medios MX 2026 — Plataformas vs tabla actual vs tabla nueva</t>
  </si>
  <si>
    <t>Tabla actual: papyrus-data-mx.habi_wh_bi.resumen_inversiones_mkt_mx · Tabla nueva: papyrus-master.sellers_comercial_global_dwh.sellers_inversion_marketing_regiones_global_dwh (pais = Mexico, columna spend en USD) · Plataformas: cuentas "Sellers USD". Ene – 22 sep 2026.</t>
  </si>
  <si>
    <t>Plataforma</t>
  </si>
  <si>
    <t>Gasto plataforma (USD)</t>
  </si>
  <si>
    <t>Tabla actual</t>
  </si>
  <si>
    <t>Tabla nueva</t>
  </si>
  <si>
    <t>① Actual vs Plat.</t>
  </si>
  <si>
    <t>② Nueva vs Plat.</t>
  </si>
  <si>
    <t>③ Nueva vs Actual</t>
  </si>
  <si>
    <t>Veredicto tabla nueva</t>
  </si>
  <si>
    <t>Meta</t>
  </si>
  <si>
    <t>Falla: divide el gasto en USD entre ~17 como si fuera MXN</t>
  </si>
  <si>
    <t>Google</t>
  </si>
  <si>
    <t>Falla: duplica el renglón original y copia clics/impresiones</t>
  </si>
  <si>
    <t>TikTok</t>
  </si>
  <si>
    <t>Falla: suma cargos extra de US$6.96 (área "otros")</t>
  </si>
  <si>
    <t>Bing</t>
  </si>
  <si>
    <t>TOTAL</t>
  </si>
  <si>
    <t>La tabla actual cuadra; la nueva no es usable sin corrección</t>
  </si>
  <si>
    <t>Conclusiones</t>
  </si>
  <si>
    <t>1. La tabla actual (resumen_inversiones_mkt_mx) cuadra con las plataformas: en Meta, Google y TikTok la diferencia es de menos de US$20 por mes (≤0.3%). Bing queda entre 1.7% y 3.4% abajo en abr–jul (faltan US$17–48 por mes), a revisar aparte; ene–mar, ago y sep cuadran.</t>
  </si>
  <si>
    <t>2. La tabla nueva NO cuadra en ninguna plataforma tal como viene. Sumando su columna spend, mes a mes: Meta −94% a −95%, Google +49% a +72%, Bing +44% a +77%, TikTok −2% a +25%.</t>
  </si>
  <si>
    <t>3. Con la corrección de duplicados, Google y Bing de la tabla nueva quedan iguales a la tabla actual. Meta y TikTok requieren arreglo en origen (Data Engineering).</t>
  </si>
  <si>
    <t>4. Detalle de cada falla, con ejemplos y consultas para reproducirla: hoja "Hallazgos para DE".</t>
  </si>
  <si>
    <t>Gasto — México 2026 (USD)</t>
  </si>
  <si>
    <t>Gasto en USD. Plataforma = total del reporte en el administrador de anuncios. Tabla nueva = SUM(spend) directo, sin corregir.</t>
  </si>
  <si>
    <t>Valores</t>
  </si>
  <si>
    <t>Diferencia % (vs. referencia)</t>
  </si>
  <si>
    <t>Diferencia absoluta</t>
  </si>
  <si>
    <t>Mes</t>
  </si>
  <si>
    <t>Plataforma (fuente)</t>
  </si>
  <si>
    <t>Tabla nueva corregida*</t>
  </si>
  <si>
    <t>① Actual vs Plataforma</t>
  </si>
  <si>
    <t>② Nueva vs Plataforma</t>
  </si>
  <si>
    <t>Nueva corregida vs Plataforma</t>
  </si>
  <si>
    <t>① Dif. USD / unid.</t>
  </si>
  <si>
    <t>② Dif. USD / unid.</t>
  </si>
  <si>
    <t>Ene</t>
  </si>
  <si>
    <t>Feb</t>
  </si>
  <si>
    <t>Mar</t>
  </si>
  <si>
    <t>Abr</t>
  </si>
  <si>
    <t>May</t>
  </si>
  <si>
    <t>Jun</t>
  </si>
  <si>
    <t>Jul</t>
  </si>
  <si>
    <t>Ago</t>
  </si>
  <si>
    <t>Sep*</t>
  </si>
  <si>
    <t>Total 2026</t>
  </si>
  <si>
    <t>4 plataformas</t>
  </si>
  <si>
    <t>* Tabla nueva corregida = misma tabla nueva, quitando el renglón original duplicado y contando clics/impresiones una sola vez por campaña-día (ver hoja "Metodología"). No corrige Meta ni TikTok.</t>
  </si>
  <si>
    <t>Semáforo: verde |dif| ≤ 1% · ámbar ≤ 5% · rojo &gt; 5%.</t>
  </si>
  <si>
    <t>Sep* = parcial: 1 al 22 de septiembre en todas las fuentes.</t>
  </si>
  <si>
    <t>Clics — México 2026</t>
  </si>
  <si>
    <t>Clics. Meta = clics (todos); Google/Bing = clics; TikTok = Clicks (destination).</t>
  </si>
  <si>
    <t>Impresiones — México 2026</t>
  </si>
  <si>
    <t>Impresiones.</t>
  </si>
  <si>
    <t>Hallazgos en sellers_inversion_marketing_regiones_global_dwh (México) — qué revisar</t>
  </si>
  <si>
    <t>Cada caso tiene un ejemplo real y una consulta para reproducirlo. Valores en USD.</t>
  </si>
  <si>
    <t>#</t>
  </si>
  <si>
    <t>Problema</t>
  </si>
  <si>
    <t>Qué pasa (ejemplo real)</t>
  </si>
  <si>
    <t>Impacto</t>
  </si>
  <si>
    <t>Qué revisar / cómo debería quedar</t>
  </si>
  <si>
    <t>Consulta para reproducir</t>
  </si>
  <si>
    <t>1</t>
  </si>
  <si>
    <t>Renglón original duplicado después del prorrateo por área metropolitana</t>
  </si>
  <si>
    <t xml:space="preserve">Las campañas nacionales se reparten por área metropolitana (fuente = WEB / Lead Forms / Estudio Inmueble, 9 áreas). En algunas campañas-día, además de esos renglones repartidos, se queda el renglón ORIGINAL sin repartir (fuente NULL, area_metropolitana = "sin area metropolitana", area_metropolitana_id NULL).
Ejemplo: 10-ago-2026, aw_tuhabi_mx_performance_max_nal_max_conv_price. Los 9 renglones repartidos suman US$557.90 y además existe el renglón original de US$558.00 → la tabla suma US$1,115.90; Google Ads reporta US$558.</t>
  </si>
  <si>
    <t>El gasto se cuenta dos veces. Ene–sep 2026: Google US$274,780 y Bing US$8,220 de gasto duplicado.</t>
  </si>
  <si>
    <t>Cuando una campaña-día se prorratea, el renglón original debe eliminarse (o no insertarse). Regla de control: para cada (date, plataforma, campana_original), SUM(spend) debe ser igual al gasto de la plataforma. Revisar por qué el borrado/reemplazo del original falla sólo en algunas campañas (en Google afecta a las de Max Val ROAS / conv_price; en Bing a las de brand y Max_Val_Roas).</t>
  </si>
  <si>
    <t xml:space="preserve">SELECT date, campana_original, area_metropolitana, fuente, spend, clicks, impressions
FROM `papyrus-master.sellers_comercial_global_dwh.sellers_inversion_marketing_regiones_global_dwh`
WHERE pais='Mexico' AND date='2026-08-10'
  AND campana_original='aw_tuhabi_mx_performance_max_nal_max_conv_price'
ORDER BY area_metropolitana</t>
  </si>
  <si>
    <t>2</t>
  </si>
  <si>
    <t>Clics e impresiones copiados en cada área (no se prorratean)</t>
  </si>
  <si>
    <t xml:space="preserve">Al repartir por área, el gasto sí se reparte, pero clics e impresiones se copian completos en cada uno de los 9 renglones.
Ejemplo: 10-ago-2026, aw_tuhabi_mx_performance_max_nal_max_conv_2_1. Los 9 renglones traen clicks = 414 e impressions = 14,375 cada uno → la tabla suma 3,726 clics; Google Ads reporta 414.
En otras campañas (ej. conv_price) los renglones repartidos traen clicks/impressions en NULL y el valor sólo vive en el renglón original duplicado (hallazgo 1).</t>
  </si>
  <si>
    <t>Por campaña-día llega a x9. En el total mensual: Google clics x2.9–x6.0 e impresiones x2.1–x7.3; Bing x1.2–x3.7; TikTok x4.9–x7.5. Meta no tiene el problema. CPC, CTR y CPM calculados con esta tabla salen mal.</t>
  </si>
  <si>
    <t>Prorratear clics e impresiones con el mismo factor que el gasto (o dejarlos en un solo renglón). Regla de control: SUM(clicks) por campaña-día = clics de la plataforma. Unificar el tratamiento: hoy hay campañas con clics copiados y otras con NULL.</t>
  </si>
  <si>
    <t xml:space="preserve">SELECT date, campana_original, area_metropolitana, fuente, spend, clicks, impressions
FROM `papyrus-master.sellers_comercial_global_dwh.sellers_inversion_marketing_regiones_global_dwh`
WHERE pais='Mexico' AND date='2026-08-10'
  AND campana_original='aw_tuhabi_mx_performance_max_nal_max_conv_2_1'</t>
  </si>
  <si>
    <t>3</t>
  </si>
  <si>
    <t>Meta: gasto en USD tratado como MXN</t>
  </si>
  <si>
    <t xml:space="preserve">La cuenta publicitaria Habi Mexico Sellers (USD) (act 205661715114408) reporta en dólares. La tabla toma ese valor como pesos y lo divide entre el tipo de cambio (~17).
Ejemplo: 27-jul-2026, FB_HabiWeb_LeadAds_ADVANTAGE_ConvLeadAds: valor_original = 175.89, moneda = "USD", conversion_mxn = 175.89, spend / conversion_usd = 10.09.
Agosto 2026: Meta Ads Manager US$185,994.11 · tabla actual US$186,002 · tabla nueva US$10,900.41 (y conversion_mxn = 185,994.28, que en realidad son dólares).</t>
  </si>
  <si>
    <t>Meta queda 94% abajo en USD y 17 veces abajo en MXN. Es el ~75% de la inversión de MX: todo total, CPL y mix que use esta tabla sale mal.</t>
  </si>
  <si>
    <t>Si moneda = "USD", entonces spend = conversion_usd = valor_original y conversion_mxn = valor_original × tipo de cambio. Revisar la regla de moneda para Facebook MX: parece forzar MXN en lugar de leer la moneda de la cuenta. Las cuentas de Sellers MX y CO en Meta están en USD. Ojo: existe otra cuenta "Habi Mexico Sellers (MXN)" que NO debe usarse para Sellers.</t>
  </si>
  <si>
    <t xml:space="preserve">SELECT FORMAT_DATE('%Y-%m',date) mes, SUM(valor_original) valor_original, SUM(spend) spend_usd, SUM(conversion_mxn) mxn, STRING_AGG(DISTINCT moneda) moneda
FROM `papyrus-master.sellers_comercial_global_dwh.sellers_inversion_marketing_regiones_global_dwh`
WHERE pais='Mexico' AND plataforma='Facebook' AND date&gt;='2026-01-01'
GROUP BY 1 ORDER BY 1</t>
  </si>
  <si>
    <t>4</t>
  </si>
  <si>
    <t>TikTok Lead Forms: cargos extra de US$6.96 en área "otros"</t>
  </si>
  <si>
    <t xml:space="preserve">La campaña tuh-mex-sel-pai-per-lfr-tka-tlg-tad-nal-smrt trae más gasto que en TikTok, siempre en múltiplos de US$6.96. Parte cae en area_metropolitana = "otros" y aparece gasto incluso en días con US$0 en la plataforma (9, 15, 29 y 30 de ago).
Ejemplo: 20-ago-2026. TikTok y la tabla actual: US$95.00. Tabla nueva: US$122.84 (US$101.96 repartido + US$20.88 en "otros" = 3 × 6.96).
Agosto 2026: TikTok US$1,786.32 en esta campaña; tabla nueva US$2,142.</t>
  </si>
  <si>
    <t>TikTok queda entre 7% y 25% arriba cada mes (ene: +25%). En septiembre queda abajo (−2%).</t>
  </si>
  <si>
    <t>Explicar de dónde sale el costo de 6.96 y el área "otros". Parece un costo por lead (gasto ÷ leads) que se suma encima del gasto real en lugar de repartirlo. El total por campaña-día debe ser igual al gasto de TikTok.</t>
  </si>
  <si>
    <t xml:space="preserve">SELECT date, area_metropolitana, fuente, spend, clicks
FROM `papyrus-master.sellers_comercial_global_dwh.sellers_inversion_marketing_regiones_global_dwh`
WHERE pais='Mexico' AND date='2026-08-20'
  AND campana_original='tuh-mex-sel-pai-per-lfr-tka-tlg-tad-nal-smrt'
ORDER BY area_metropolitana</t>
  </si>
  <si>
    <t>5</t>
  </si>
  <si>
    <t>Etiqueta de moneda inconsistente</t>
  </si>
  <si>
    <t>La columna moneda dice "USD" en todos los renglones de MX, pero valor_original a veces está en USD (Google, Bing, TikTok) y conversion_mxn = valor_original en Meta.</t>
  </si>
  <si>
    <t>Confunde a quien use valor_original o moneda para convertir.</t>
  </si>
  <si>
    <t>Que moneda refleje la moneda real de valor_original (la de la cuenta publicitaria) y que las 3 conversiones (usd, cop, mxn) partan de ella.</t>
  </si>
  <si>
    <t>(misma consulta del hallazgo 3)</t>
  </si>
  <si>
    <t>Prueba de aceptación sugerida: para cada plataforma y mes, SUM(spend), SUM(clicks) y SUM(impressions) de la tabla nueva deben ser iguales (±0.5%) a la hoja "Gasto"/"Clics"/"Impresiones" columna Plataforma; y SUM(conversion_mxn) = SUM(spend) × tipo de cambio del día.</t>
  </si>
  <si>
    <t>Metodología y fuentes</t>
  </si>
  <si>
    <t>Cómo se construyó cada columna.</t>
  </si>
  <si>
    <t>Periodo</t>
  </si>
  <si>
    <t>1-ene-2026 a 22-sep-2026 en todas las fuentes (plataformas y BigQuery). Septiembre es parcial.</t>
  </si>
  <si>
    <t>Administrador de anuncios, cuenta "Habi Mexico Sellers (USD)" act 205661715114408, nivel campaña, todas las campañas. Importe gastado, impresiones, clics (todos). Leído el 23-sep-2026.</t>
  </si>
  <si>
    <t>Google Ads, cuenta "Habi Mexico Sellers (USD)" 905-246-3137, export por mes (googlespend.csv). Coste, impresiones, clics.</t>
  </si>
  <si>
    <t>TikTok Ads Manager, cuenta "Tuhabi MX Sellers USD" 7104688500875821058, nivel campaña. Spend, impressions, clicks (destination). Leído el 23-sep-2026.</t>
  </si>
  <si>
    <t>Microsoft Advertising, cuenta "Habi Mexico Sellers (USD)" F145UHS4, export por mes (microsoft.csv). Spend, clicks, impressions.</t>
  </si>
  <si>
    <t>Cuentas excluidas</t>
  </si>
  <si>
    <t>No se usan las cuentas en MXN (p. ej. Meta "Habi Mexico Sellers (MXN)"), sólo las de Sellers en USD.</t>
  </si>
  <si>
    <t>papyrus-data-mx.habi_wh_bi.resumen_inversiones_mkt_mx: SUM(spend), SUM(clicks), SUM(impressions) por plataforma y mes. Está en USD.</t>
  </si>
  <si>
    <t>papyrus-master.sellers_comercial_global_dwh.sellers_inversion_marketing_regiones_global_dwh con pais = 'Mexico': SUM(spend) (USD), SUM(clicks), SUM(impressions) directos.</t>
  </si>
  <si>
    <t>Tabla nueva corregida</t>
  </si>
  <si>
    <t>Por (date, plataforma, campana_original): si existe algún renglón con fuente NO nula (prorrateado), se descarta el renglón con fuente NULL (original). Clics e impresiones: MAX por campaña-día (se cuentan una sola vez), excepto Meta, que trae región real y se suma. Consulta: cmp/mensual.sql.</t>
  </si>
  <si>
    <t>Diferencias</t>
  </si>
  <si>
    <t>① Actual vs Plataforma = Actual / Plataforma − 1 · ② Nueva vs Plataforma = Nueva / Plataforma − 1 · ③ Nueva vs Actual = Nueva / Actual − 1.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</si>
</sst>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"/>
    <numFmt numFmtId="165" formatCode="+0.0%;-0.0%;0.0%"/>
    <numFmt numFmtId="166" formatCode="$#,##0.00"/>
    <numFmt numFmtId="167" formatCode="+#,##0.00;-#,##0.00;0"/>
    <numFmt numFmtId="168" formatCode="+#,##0;-#,##0;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55555"/>
      <sz val="9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b/>
      <color rgb="FFFFFFFF"/>
      <sz val="10"/>
      <name val="Arial"/>
    </font>
    <font>
      <i/>
      <sz val="9"/>
      <name val="Arial"/>
    </font>
    <font>
      <sz val="8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E7EE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5" borderId="0" xfId="0" applyFont="1" applyFill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6" fontId="3" fillId="4" borderId="1" xfId="0" applyNumberFormat="1" applyFont="1" applyFill="1" applyBorder="1"/>
    <xf numFmtId="167" fontId="3" fillId="4" borderId="1" xfId="0" applyNumberFormat="1" applyFont="1" applyFill="1" applyBorder="1"/>
    <xf numFmtId="0" fontId="7" fillId="2" borderId="1" xfId="0" applyFont="1" applyFill="1" applyBorder="1"/>
    <xf numFmtId="166" fontId="7" fillId="2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/>
    <xf numFmtId="0" fontId="8" fillId="0" borderId="0" xfId="0" applyFont="1" applyAlignment="1">
      <alignment wrapText="1"/>
    </xf>
    <xf numFmtId="3" fontId="4" fillId="0" borderId="1" xfId="0" applyNumberFormat="1" applyFont="1" applyBorder="1"/>
    <xf numFmtId="168" fontId="4" fillId="0" borderId="1" xfId="0" applyNumberFormat="1" applyFont="1" applyBorder="1"/>
    <xf numFmtId="3" fontId="3" fillId="4" borderId="1" xfId="0" applyNumberFormat="1" applyFont="1" applyFill="1" applyBorder="1"/>
    <xf numFmtId="168" fontId="3" fillId="4" borderId="1" xfId="0" applyNumberFormat="1" applyFont="1" applyFill="1" applyBorder="1"/>
    <xf numFmtId="3" fontId="7" fillId="2" borderId="1" xfId="0" applyNumberFormat="1" applyFont="1" applyFill="1" applyBorder="1"/>
    <xf numFmtId="168" fontId="7" fillId="2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2"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8" customWidth="1"/>
    <col min="3" max="4" width="15" customWidth="1"/>
    <col min="5" max="7" width="13" customWidth="1"/>
    <col min="8" max="8" width="4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" customHeight="1" spans="1:8" x14ac:dyDescent="0.25">
      <c r="A5" s="4" t="s">
        <v>10</v>
      </c>
      <c r="B5" s="5">
        <f>Gasto!C14</f>
      </c>
      <c r="C5" s="5">
        <f>Gasto!D14</f>
      </c>
      <c r="D5" s="5">
        <f>Gasto!E14</f>
      </c>
      <c r="E5" s="6">
        <f>IFERROR(C5/B5-1,"")</f>
      </c>
      <c r="F5" s="6">
        <f>IFERROR(D5/B5-1,"")</f>
      </c>
      <c r="G5" s="6">
        <f>IFERROR(D5/C5-1,"")</f>
      </c>
      <c r="H5" s="7" t="s">
        <v>11</v>
      </c>
    </row>
    <row r="6" ht="30" customHeight="1" spans="1:8" x14ac:dyDescent="0.25">
      <c r="A6" s="4" t="s">
        <v>12</v>
      </c>
      <c r="B6" s="5">
        <f>Gasto!C25</f>
      </c>
      <c r="C6" s="5">
        <f>Gasto!D25</f>
      </c>
      <c r="D6" s="5">
        <f>Gasto!E25</f>
      </c>
      <c r="E6" s="6">
        <f>IFERROR(C6/B6-1,"")</f>
      </c>
      <c r="F6" s="6">
        <f>IFERROR(D6/B6-1,"")</f>
      </c>
      <c r="G6" s="6">
        <f>IFERROR(D6/C6-1,"")</f>
      </c>
      <c r="H6" s="7" t="s">
        <v>13</v>
      </c>
    </row>
    <row r="7" ht="30" customHeight="1" spans="1:8" x14ac:dyDescent="0.25">
      <c r="A7" s="4" t="s">
        <v>14</v>
      </c>
      <c r="B7" s="5">
        <f>Gasto!C36</f>
      </c>
      <c r="C7" s="5">
        <f>Gasto!D36</f>
      </c>
      <c r="D7" s="5">
        <f>Gasto!E36</f>
      </c>
      <c r="E7" s="6">
        <f>IFERROR(C7/B7-1,"")</f>
      </c>
      <c r="F7" s="6">
        <f>IFERROR(D7/B7-1,"")</f>
      </c>
      <c r="G7" s="6">
        <f>IFERROR(D7/C7-1,"")</f>
      </c>
      <c r="H7" s="7" t="s">
        <v>15</v>
      </c>
    </row>
    <row r="8" ht="30" customHeight="1" spans="1:8" x14ac:dyDescent="0.25">
      <c r="A8" s="4" t="s">
        <v>16</v>
      </c>
      <c r="B8" s="5">
        <f>Gasto!C47</f>
      </c>
      <c r="C8" s="5">
        <f>Gasto!D47</f>
      </c>
      <c r="D8" s="5">
        <f>Gasto!E47</f>
      </c>
      <c r="E8" s="6">
        <f>IFERROR(C8/B8-1,"")</f>
      </c>
      <c r="F8" s="6">
        <f>IFERROR(D8/B8-1,"")</f>
      </c>
      <c r="G8" s="6">
        <f>IFERROR(D8/C8-1,"")</f>
      </c>
      <c r="H8" s="7" t="s">
        <v>13</v>
      </c>
    </row>
    <row r="9" ht="30" customHeight="1" spans="1:8" x14ac:dyDescent="0.25">
      <c r="A9" s="8" t="s">
        <v>17</v>
      </c>
      <c r="B9" s="9">
        <f>SUM(B5:B8)</f>
      </c>
      <c r="C9" s="9">
        <f>SUM(C5:C8)</f>
      </c>
      <c r="D9" s="9">
        <f>SUM(D5:D8)</f>
      </c>
      <c r="E9" s="10">
        <f>IFERROR(C9/B9-1,"")</f>
      </c>
      <c r="F9" s="10">
        <f>IFERROR(D9/B9-1,"")</f>
      </c>
      <c r="G9" s="10">
        <f>IFERROR(D9/C9-1,"")</f>
      </c>
      <c r="H9" s="11" t="s">
        <v>18</v>
      </c>
    </row>
    <row r="11" ht="18" customHeight="1" spans="1:8" x14ac:dyDescent="0.25">
      <c r="A11" s="12" t="s">
        <v>19</v>
      </c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20</v>
      </c>
      <c r="B12" s="13"/>
      <c r="C12" s="13"/>
      <c r="D12" s="13"/>
      <c r="E12" s="13"/>
      <c r="F12" s="13"/>
      <c r="G12" s="13"/>
      <c r="H12" s="13"/>
    </row>
    <row r="13" ht="30" customHeight="1" spans="1:8" x14ac:dyDescent="0.25">
      <c r="A13" s="13" t="s">
        <v>21</v>
      </c>
      <c r="B13" s="13"/>
      <c r="C13" s="13"/>
      <c r="D13" s="13"/>
      <c r="E13" s="13"/>
      <c r="F13" s="13"/>
      <c r="G13" s="13"/>
      <c r="H13" s="13"/>
    </row>
    <row r="14" ht="30" customHeight="1" spans="1:8" x14ac:dyDescent="0.25">
      <c r="A14" s="13" t="s">
        <v>22</v>
      </c>
      <c r="B14" s="13"/>
      <c r="C14" s="13"/>
      <c r="D14" s="13"/>
      <c r="E14" s="13"/>
      <c r="F14" s="13"/>
      <c r="G14" s="13"/>
      <c r="H14" s="13"/>
    </row>
    <row r="15" ht="30" customHeight="1" spans="1:8" x14ac:dyDescent="0.25">
      <c r="A15" s="13" t="s">
        <v>23</v>
      </c>
      <c r="B15" s="13"/>
      <c r="C15" s="13"/>
      <c r="D15" s="13"/>
      <c r="E15" s="13"/>
      <c r="F15" s="13"/>
      <c r="G15" s="13"/>
      <c r="H15" s="13"/>
    </row>
  </sheetData>
  <mergeCells count="7">
    <mergeCell ref="A1:H1"/>
    <mergeCell ref="A2:H2"/>
    <mergeCell ref="A11:H11"/>
    <mergeCell ref="A12:H12"/>
    <mergeCell ref="A13:H13"/>
    <mergeCell ref="A14:H14"/>
    <mergeCell ref="A15:H15"/>
  </mergeCells>
  <conditionalFormatting sqref="E5:G9">
    <cfRule type="expression" dxfId="0" priority="1">
      <formula>AND(ISNUMBER(E5),ABS(E5)&lt;=0.01)</formula>
    </cfRule>
    <cfRule type="expression" dxfId="1" priority="2">
      <formula>AND(ISNUMBER(E5),ABS(E5)&lt;=0.05)</formula>
    </cfRule>
    <cfRule type="expression" dxfId="2" priority="3">
      <formula>ISNUMBER(E5)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16">
        <v>148246.65</v>
      </c>
      <c r="D5" s="16">
        <v>148263</v>
      </c>
      <c r="E5" s="16">
        <v>7310.73</v>
      </c>
      <c r="F5" s="16">
        <v>7310.73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17">
        <f>D5-C5</f>
      </c>
      <c r="L5" s="17">
        <f>E5-C5</f>
      </c>
    </row>
    <row r="6" spans="1:12" x14ac:dyDescent="0.25">
      <c r="A6" s="15" t="s">
        <v>10</v>
      </c>
      <c r="B6" s="15" t="s">
        <v>38</v>
      </c>
      <c r="C6" s="16">
        <v>136913.77</v>
      </c>
      <c r="D6" s="16">
        <v>136916</v>
      </c>
      <c r="E6" s="16">
        <v>7947.05</v>
      </c>
      <c r="F6" s="16">
        <v>7947.05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17">
        <f>D6-C6</f>
      </c>
      <c r="L6" s="17">
        <f>E6-C6</f>
      </c>
    </row>
    <row r="7" spans="1:12" x14ac:dyDescent="0.25">
      <c r="A7" s="15" t="s">
        <v>10</v>
      </c>
      <c r="B7" s="15" t="s">
        <v>39</v>
      </c>
      <c r="C7" s="16">
        <v>166617.46</v>
      </c>
      <c r="D7" s="16">
        <v>166622</v>
      </c>
      <c r="E7" s="16">
        <v>9374.93</v>
      </c>
      <c r="F7" s="16">
        <v>9374.93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17">
        <f>D7-C7</f>
      </c>
      <c r="L7" s="17">
        <f>E7-C7</f>
      </c>
    </row>
    <row r="8" spans="1:12" x14ac:dyDescent="0.25">
      <c r="A8" s="15" t="s">
        <v>10</v>
      </c>
      <c r="B8" s="15" t="s">
        <v>40</v>
      </c>
      <c r="C8" s="16">
        <v>167096.54</v>
      </c>
      <c r="D8" s="16">
        <v>167107</v>
      </c>
      <c r="E8" s="16">
        <v>9582.73</v>
      </c>
      <c r="F8" s="16">
        <v>9582.73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17">
        <f>D8-C8</f>
      </c>
      <c r="L8" s="17">
        <f>E8-C8</f>
      </c>
    </row>
    <row r="9" spans="1:12" x14ac:dyDescent="0.25">
      <c r="A9" s="15" t="s">
        <v>10</v>
      </c>
      <c r="B9" s="15" t="s">
        <v>41</v>
      </c>
      <c r="C9" s="16">
        <v>167442.35</v>
      </c>
      <c r="D9" s="16">
        <v>167447</v>
      </c>
      <c r="E9" s="16">
        <v>9670.24</v>
      </c>
      <c r="F9" s="16">
        <v>9670.24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17">
        <f>D9-C9</f>
      </c>
      <c r="L9" s="17">
        <f>E9-C9</f>
      </c>
    </row>
    <row r="10" spans="1:12" x14ac:dyDescent="0.25">
      <c r="A10" s="15" t="s">
        <v>10</v>
      </c>
      <c r="B10" s="15" t="s">
        <v>42</v>
      </c>
      <c r="C10" s="16">
        <v>167014.12</v>
      </c>
      <c r="D10" s="16">
        <v>167012</v>
      </c>
      <c r="E10" s="16">
        <v>9607.87</v>
      </c>
      <c r="F10" s="16">
        <v>9607.87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17">
        <f>D10-C10</f>
      </c>
      <c r="L10" s="17">
        <f>E10-C10</f>
      </c>
    </row>
    <row r="11" spans="1:12" x14ac:dyDescent="0.25">
      <c r="A11" s="15" t="s">
        <v>10</v>
      </c>
      <c r="B11" s="15" t="s">
        <v>43</v>
      </c>
      <c r="C11" s="16">
        <v>172124.72</v>
      </c>
      <c r="D11" s="16">
        <v>172119</v>
      </c>
      <c r="E11" s="16">
        <v>9854.69</v>
      </c>
      <c r="F11" s="16">
        <v>9854.69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17">
        <f>D11-C11</f>
      </c>
      <c r="L11" s="17">
        <f>E11-C11</f>
      </c>
    </row>
    <row r="12" spans="1:12" x14ac:dyDescent="0.25">
      <c r="A12" s="15" t="s">
        <v>10</v>
      </c>
      <c r="B12" s="15" t="s">
        <v>44</v>
      </c>
      <c r="C12" s="16">
        <v>185994.11</v>
      </c>
      <c r="D12" s="16">
        <v>186002</v>
      </c>
      <c r="E12" s="16">
        <v>10900.41</v>
      </c>
      <c r="F12" s="16">
        <v>10900.41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17">
        <f>D12-C12</f>
      </c>
      <c r="L12" s="17">
        <f>E12-C12</f>
      </c>
    </row>
    <row r="13" spans="1:12" x14ac:dyDescent="0.25">
      <c r="A13" s="15" t="s">
        <v>10</v>
      </c>
      <c r="B13" s="15" t="s">
        <v>45</v>
      </c>
      <c r="C13" s="16">
        <v>137430.7</v>
      </c>
      <c r="D13" s="16">
        <v>137430</v>
      </c>
      <c r="E13" s="16">
        <v>8062.98</v>
      </c>
      <c r="F13" s="16">
        <v>8062.98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17">
        <f>D13-C13</f>
      </c>
      <c r="L13" s="17">
        <f>E13-C13</f>
      </c>
    </row>
    <row r="14" spans="1:12" x14ac:dyDescent="0.25">
      <c r="A14" s="8" t="s">
        <v>10</v>
      </c>
      <c r="B14" s="8" t="s">
        <v>46</v>
      </c>
      <c r="C14" s="18">
        <f>SUM(C5:C13)</f>
      </c>
      <c r="D14" s="18">
        <f>SUM(D5:D13)</f>
      </c>
      <c r="E14" s="18">
        <f>SUM(E5:E13)</f>
      </c>
      <c r="F14" s="18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19">
        <f>D14-C14</f>
      </c>
      <c r="L14" s="19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16">
        <v>47406.58</v>
      </c>
      <c r="D16" s="16">
        <v>47417</v>
      </c>
      <c r="E16" s="16">
        <v>81588</v>
      </c>
      <c r="F16" s="16">
        <v>47417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17">
        <f>D16-C16</f>
      </c>
      <c r="L16" s="17">
        <f>E16-C16</f>
      </c>
    </row>
    <row r="17" spans="1:12" x14ac:dyDescent="0.25">
      <c r="A17" s="15" t="s">
        <v>12</v>
      </c>
      <c r="B17" s="15" t="s">
        <v>38</v>
      </c>
      <c r="C17" s="16">
        <v>49379.15</v>
      </c>
      <c r="D17" s="16">
        <v>49370</v>
      </c>
      <c r="E17" s="16">
        <v>80722</v>
      </c>
      <c r="F17" s="16">
        <v>49370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17">
        <f>D17-C17</f>
      </c>
      <c r="L17" s="17">
        <f>E17-C17</f>
      </c>
    </row>
    <row r="18" spans="1:12" x14ac:dyDescent="0.25">
      <c r="A18" s="15" t="s">
        <v>12</v>
      </c>
      <c r="B18" s="15" t="s">
        <v>39</v>
      </c>
      <c r="C18" s="16">
        <v>56981.06</v>
      </c>
      <c r="D18" s="16">
        <v>56985</v>
      </c>
      <c r="E18" s="16">
        <v>95669</v>
      </c>
      <c r="F18" s="16">
        <v>56985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17">
        <f>D18-C18</f>
      </c>
      <c r="L18" s="17">
        <f>E18-C18</f>
      </c>
    </row>
    <row r="19" spans="1:12" x14ac:dyDescent="0.25">
      <c r="A19" s="15" t="s">
        <v>12</v>
      </c>
      <c r="B19" s="15" t="s">
        <v>40</v>
      </c>
      <c r="C19" s="16">
        <v>50894.19</v>
      </c>
      <c r="D19" s="16">
        <v>50889</v>
      </c>
      <c r="E19" s="16">
        <v>83963</v>
      </c>
      <c r="F19" s="16">
        <v>50889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17">
        <f>D19-C19</f>
      </c>
      <c r="L19" s="17">
        <f>E19-C19</f>
      </c>
    </row>
    <row r="20" spans="1:12" x14ac:dyDescent="0.25">
      <c r="A20" s="15" t="s">
        <v>12</v>
      </c>
      <c r="B20" s="15" t="s">
        <v>41</v>
      </c>
      <c r="C20" s="16">
        <v>50617.67</v>
      </c>
      <c r="D20" s="16">
        <v>50623</v>
      </c>
      <c r="E20" s="16">
        <v>82513</v>
      </c>
      <c r="F20" s="16">
        <v>50623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17">
        <f>D20-C20</f>
      </c>
      <c r="L20" s="17">
        <f>E20-C20</f>
      </c>
    </row>
    <row r="21" spans="1:12" x14ac:dyDescent="0.25">
      <c r="A21" s="15" t="s">
        <v>12</v>
      </c>
      <c r="B21" s="15" t="s">
        <v>42</v>
      </c>
      <c r="C21" s="16">
        <v>54855.48</v>
      </c>
      <c r="D21" s="16">
        <v>54845</v>
      </c>
      <c r="E21" s="16">
        <v>81651</v>
      </c>
      <c r="F21" s="16">
        <v>54845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17">
        <f>D21-C21</f>
      </c>
      <c r="L21" s="17">
        <f>E21-C21</f>
      </c>
    </row>
    <row r="22" spans="1:12" x14ac:dyDescent="0.25">
      <c r="A22" s="15" t="s">
        <v>12</v>
      </c>
      <c r="B22" s="15" t="s">
        <v>43</v>
      </c>
      <c r="C22" s="16">
        <v>63313.33</v>
      </c>
      <c r="D22" s="16">
        <v>63316</v>
      </c>
      <c r="E22" s="16">
        <v>96511</v>
      </c>
      <c r="F22" s="16">
        <v>63316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17">
        <f>D22-C22</f>
      </c>
      <c r="L22" s="17">
        <f>E22-C22</f>
      </c>
    </row>
    <row r="23" spans="1:12" x14ac:dyDescent="0.25">
      <c r="A23" s="15" t="s">
        <v>12</v>
      </c>
      <c r="B23" s="15" t="s">
        <v>44</v>
      </c>
      <c r="C23" s="16">
        <v>55253.17</v>
      </c>
      <c r="D23" s="16">
        <v>55244</v>
      </c>
      <c r="E23" s="16">
        <v>82168</v>
      </c>
      <c r="F23" s="16">
        <v>55244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17">
        <f>D23-C23</f>
      </c>
      <c r="L23" s="17">
        <f>E23-C23</f>
      </c>
    </row>
    <row r="24" spans="1:12" x14ac:dyDescent="0.25">
      <c r="A24" s="15" t="s">
        <v>12</v>
      </c>
      <c r="B24" s="15" t="s">
        <v>45</v>
      </c>
      <c r="C24" s="16">
        <v>30136.15</v>
      </c>
      <c r="D24" s="16">
        <v>30139</v>
      </c>
      <c r="E24" s="16">
        <v>48824</v>
      </c>
      <c r="F24" s="16">
        <v>30140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17">
        <f>D24-C24</f>
      </c>
      <c r="L24" s="17">
        <f>E24-C24</f>
      </c>
    </row>
    <row r="25" spans="1:12" x14ac:dyDescent="0.25">
      <c r="A25" s="8" t="s">
        <v>12</v>
      </c>
      <c r="B25" s="8" t="s">
        <v>46</v>
      </c>
      <c r="C25" s="18">
        <f>SUM(C16:C24)</f>
      </c>
      <c r="D25" s="18">
        <f>SUM(D16:D24)</f>
      </c>
      <c r="E25" s="18">
        <f>SUM(E16:E24)</f>
      </c>
      <c r="F25" s="18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19">
        <f>D25-C25</f>
      </c>
      <c r="L25" s="19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16">
        <v>3873.17</v>
      </c>
      <c r="D27" s="16">
        <v>3860</v>
      </c>
      <c r="E27" s="16">
        <v>4848.32</v>
      </c>
      <c r="F27" s="16">
        <v>4848.32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17">
        <f>D27-C27</f>
      </c>
      <c r="L27" s="17">
        <f>E27-C27</f>
      </c>
    </row>
    <row r="28" spans="1:12" x14ac:dyDescent="0.25">
      <c r="A28" s="15" t="s">
        <v>14</v>
      </c>
      <c r="B28" s="15" t="s">
        <v>38</v>
      </c>
      <c r="C28" s="16">
        <v>3687.33</v>
      </c>
      <c r="D28" s="16">
        <v>3687</v>
      </c>
      <c r="E28" s="16">
        <v>4222.92</v>
      </c>
      <c r="F28" s="16">
        <v>4222.92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17">
        <f>D28-C28</f>
      </c>
      <c r="L28" s="17">
        <f>E28-C28</f>
      </c>
    </row>
    <row r="29" spans="1:12" x14ac:dyDescent="0.25">
      <c r="A29" s="15" t="s">
        <v>14</v>
      </c>
      <c r="B29" s="15" t="s">
        <v>39</v>
      </c>
      <c r="C29" s="16">
        <v>4238.89</v>
      </c>
      <c r="D29" s="16">
        <v>4238</v>
      </c>
      <c r="E29" s="16">
        <v>4801.76</v>
      </c>
      <c r="F29" s="16">
        <v>4801.76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17">
        <f>D29-C29</f>
      </c>
      <c r="L29" s="17">
        <f>E29-C29</f>
      </c>
    </row>
    <row r="30" spans="1:12" x14ac:dyDescent="0.25">
      <c r="A30" s="15" t="s">
        <v>14</v>
      </c>
      <c r="B30" s="15" t="s">
        <v>40</v>
      </c>
      <c r="C30" s="16">
        <v>3904.44</v>
      </c>
      <c r="D30" s="16">
        <v>3905</v>
      </c>
      <c r="E30" s="16">
        <v>4197.32</v>
      </c>
      <c r="F30" s="16">
        <v>4197.32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17">
        <f>D30-C30</f>
      </c>
      <c r="L30" s="17">
        <f>E30-C30</f>
      </c>
    </row>
    <row r="31" spans="1:12" x14ac:dyDescent="0.25">
      <c r="A31" s="15" t="s">
        <v>14</v>
      </c>
      <c r="B31" s="15" t="s">
        <v>41</v>
      </c>
      <c r="C31" s="16">
        <v>2649.29</v>
      </c>
      <c r="D31" s="16">
        <v>2650</v>
      </c>
      <c r="E31" s="16">
        <v>3067.6</v>
      </c>
      <c r="F31" s="16">
        <v>3067.6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17">
        <f>D31-C31</f>
      </c>
      <c r="L31" s="17">
        <f>E31-C31</f>
      </c>
    </row>
    <row r="32" spans="1:12" x14ac:dyDescent="0.25">
      <c r="A32" s="15" t="s">
        <v>14</v>
      </c>
      <c r="B32" s="15" t="s">
        <v>42</v>
      </c>
      <c r="C32" s="16">
        <v>2235.73</v>
      </c>
      <c r="D32" s="16">
        <v>2238</v>
      </c>
      <c r="E32" s="16">
        <v>2523.36</v>
      </c>
      <c r="F32" s="16">
        <v>2523.36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17">
        <f>D32-C32</f>
      </c>
      <c r="L32" s="17">
        <f>E32-C32</f>
      </c>
    </row>
    <row r="33" spans="1:12" x14ac:dyDescent="0.25">
      <c r="A33" s="15" t="s">
        <v>14</v>
      </c>
      <c r="B33" s="15" t="s">
        <v>43</v>
      </c>
      <c r="C33" s="16">
        <v>2141.26</v>
      </c>
      <c r="D33" s="16">
        <v>2140</v>
      </c>
      <c r="E33" s="16">
        <v>2494.96</v>
      </c>
      <c r="F33" s="16">
        <v>2494.96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17">
        <f>D33-C33</f>
      </c>
      <c r="L33" s="17">
        <f>E33-C33</f>
      </c>
    </row>
    <row r="34" spans="1:12" x14ac:dyDescent="0.25">
      <c r="A34" s="15" t="s">
        <v>14</v>
      </c>
      <c r="B34" s="15" t="s">
        <v>44</v>
      </c>
      <c r="C34" s="16">
        <v>4745.34</v>
      </c>
      <c r="D34" s="16">
        <v>4745</v>
      </c>
      <c r="E34" s="16">
        <v>5099.96</v>
      </c>
      <c r="F34" s="16">
        <v>5099.96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17">
        <f>D34-C34</f>
      </c>
      <c r="L34" s="17">
        <f>E34-C34</f>
      </c>
    </row>
    <row r="35" spans="1:12" x14ac:dyDescent="0.25">
      <c r="A35" s="15" t="s">
        <v>14</v>
      </c>
      <c r="B35" s="15" t="s">
        <v>45</v>
      </c>
      <c r="C35" s="16">
        <v>4742.74</v>
      </c>
      <c r="D35" s="16">
        <v>4744</v>
      </c>
      <c r="E35" s="16">
        <v>4665.16</v>
      </c>
      <c r="F35" s="16">
        <v>4665.16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17">
        <f>D35-C35</f>
      </c>
      <c r="L35" s="17">
        <f>E35-C35</f>
      </c>
    </row>
    <row r="36" spans="1:12" x14ac:dyDescent="0.25">
      <c r="A36" s="8" t="s">
        <v>14</v>
      </c>
      <c r="B36" s="8" t="s">
        <v>46</v>
      </c>
      <c r="C36" s="18">
        <f>SUM(C27:C35)</f>
      </c>
      <c r="D36" s="18">
        <f>SUM(D27:D35)</f>
      </c>
      <c r="E36" s="18">
        <f>SUM(E27:E35)</f>
      </c>
      <c r="F36" s="18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19">
        <f>D36-C36</f>
      </c>
      <c r="L36" s="19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16">
        <v>1212.96</v>
      </c>
      <c r="D38" s="16">
        <v>1211.88</v>
      </c>
      <c r="E38" s="16">
        <v>1792.34</v>
      </c>
      <c r="F38" s="16">
        <v>1211.88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17">
        <f>D38-C38</f>
      </c>
      <c r="L38" s="17">
        <f>E38-C38</f>
      </c>
    </row>
    <row r="39" spans="1:12" x14ac:dyDescent="0.25">
      <c r="A39" s="15" t="s">
        <v>16</v>
      </c>
      <c r="B39" s="15" t="s">
        <v>38</v>
      </c>
      <c r="C39" s="16">
        <v>1190.8</v>
      </c>
      <c r="D39" s="16">
        <v>1185.37</v>
      </c>
      <c r="E39" s="16">
        <v>1774</v>
      </c>
      <c r="F39" s="16">
        <v>1185.37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17">
        <f>D39-C39</f>
      </c>
      <c r="L39" s="17">
        <f>E39-C39</f>
      </c>
    </row>
    <row r="40" spans="1:12" x14ac:dyDescent="0.25">
      <c r="A40" s="15" t="s">
        <v>16</v>
      </c>
      <c r="B40" s="15" t="s">
        <v>39</v>
      </c>
      <c r="C40" s="16">
        <v>1841.09</v>
      </c>
      <c r="D40" s="16">
        <v>1841.09</v>
      </c>
      <c r="E40" s="16">
        <v>2903.34</v>
      </c>
      <c r="F40" s="16">
        <v>1841.09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17">
        <f>D40-C40</f>
      </c>
      <c r="L40" s="17">
        <f>E40-C40</f>
      </c>
    </row>
    <row r="41" spans="1:12" x14ac:dyDescent="0.25">
      <c r="A41" s="15" t="s">
        <v>16</v>
      </c>
      <c r="B41" s="15" t="s">
        <v>40</v>
      </c>
      <c r="C41" s="16">
        <v>1804.13</v>
      </c>
      <c r="D41" s="16">
        <v>1763.43</v>
      </c>
      <c r="E41" s="16">
        <v>2813.24</v>
      </c>
      <c r="F41" s="16">
        <v>1763.43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17">
        <f>D41-C41</f>
      </c>
      <c r="L41" s="17">
        <f>E41-C41</f>
      </c>
    </row>
    <row r="42" spans="1:12" x14ac:dyDescent="0.25">
      <c r="A42" s="15" t="s">
        <v>16</v>
      </c>
      <c r="B42" s="15" t="s">
        <v>41</v>
      </c>
      <c r="C42" s="16">
        <v>1393.57</v>
      </c>
      <c r="D42" s="16">
        <v>1346.03</v>
      </c>
      <c r="E42" s="16">
        <v>2366.82</v>
      </c>
      <c r="F42" s="16">
        <v>1346.03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17">
        <f>D42-C42</f>
      </c>
      <c r="L42" s="17">
        <f>E42-C42</f>
      </c>
    </row>
    <row r="43" spans="1:12" x14ac:dyDescent="0.25">
      <c r="A43" s="15" t="s">
        <v>16</v>
      </c>
      <c r="B43" s="15" t="s">
        <v>42</v>
      </c>
      <c r="C43" s="16">
        <v>1777.63</v>
      </c>
      <c r="D43" s="16">
        <v>1729.83</v>
      </c>
      <c r="E43" s="16">
        <v>3013.41</v>
      </c>
      <c r="F43" s="16">
        <v>1729.83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17">
        <f>D43-C43</f>
      </c>
      <c r="L43" s="17">
        <f>E43-C43</f>
      </c>
    </row>
    <row r="44" spans="1:12" x14ac:dyDescent="0.25">
      <c r="A44" s="15" t="s">
        <v>16</v>
      </c>
      <c r="B44" s="15" t="s">
        <v>43</v>
      </c>
      <c r="C44" s="16">
        <v>1000.74</v>
      </c>
      <c r="D44" s="16">
        <v>984.08</v>
      </c>
      <c r="E44" s="16">
        <v>1678.26</v>
      </c>
      <c r="F44" s="16">
        <v>984.08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17">
        <f>D44-C44</f>
      </c>
      <c r="L44" s="17">
        <f>E44-C44</f>
      </c>
    </row>
    <row r="45" spans="1:12" x14ac:dyDescent="0.25">
      <c r="A45" s="15" t="s">
        <v>16</v>
      </c>
      <c r="B45" s="15" t="s">
        <v>44</v>
      </c>
      <c r="C45" s="16">
        <v>1036.88</v>
      </c>
      <c r="D45" s="16">
        <v>1036.88</v>
      </c>
      <c r="E45" s="16">
        <v>1833.65</v>
      </c>
      <c r="F45" s="16">
        <v>1036.88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17">
        <f>D45-C45</f>
      </c>
      <c r="L45" s="17">
        <f>E45-C45</f>
      </c>
    </row>
    <row r="46" spans="1:12" x14ac:dyDescent="0.25">
      <c r="A46" s="15" t="s">
        <v>16</v>
      </c>
      <c r="B46" s="15" t="s">
        <v>45</v>
      </c>
      <c r="C46" s="16">
        <v>2367.81</v>
      </c>
      <c r="D46" s="16">
        <v>2366.77</v>
      </c>
      <c r="E46" s="16">
        <v>3411.65</v>
      </c>
      <c r="F46" s="16">
        <v>2267.67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17">
        <f>D46-C46</f>
      </c>
      <c r="L46" s="17">
        <f>E46-C46</f>
      </c>
    </row>
    <row r="47" spans="1:12" x14ac:dyDescent="0.25">
      <c r="A47" s="8" t="s">
        <v>16</v>
      </c>
      <c r="B47" s="8" t="s">
        <v>46</v>
      </c>
      <c r="C47" s="18">
        <f>SUM(C38:C46)</f>
      </c>
      <c r="D47" s="18">
        <f>SUM(D38:D46)</f>
      </c>
      <c r="E47" s="18">
        <f>SUM(E38:E46)</f>
      </c>
      <c r="F47" s="18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19">
        <f>D47-C47</f>
      </c>
      <c r="L47" s="19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1">
        <f>C14+C25+C36+C47</f>
      </c>
      <c r="D49" s="21">
        <f>D14+D25+D36+D47</f>
      </c>
      <c r="E49" s="21">
        <f>E14+E25+E36+E47</f>
      </c>
      <c r="F49" s="21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23">
        <f>D49-C49</f>
      </c>
      <c r="L49" s="23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3" priority="1">
      <formula>AND(ISNUMBER(G5),ABS(G5)&lt;=0.01)</formula>
    </cfRule>
    <cfRule type="expression" dxfId="4" priority="2">
      <formula>AND(ISNUMBER(G5),ABS(G5)&lt;=0.05)</formula>
    </cfRule>
    <cfRule type="expression" dxfId="5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25">
        <v>614732</v>
      </c>
      <c r="D5" s="25">
        <v>614732</v>
      </c>
      <c r="E5" s="25">
        <v>614732</v>
      </c>
      <c r="F5" s="25">
        <v>614732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26">
        <f>D5-C5</f>
      </c>
      <c r="L5" s="26">
        <f>E5-C5</f>
      </c>
    </row>
    <row r="6" spans="1:12" x14ac:dyDescent="0.25">
      <c r="A6" s="15" t="s">
        <v>10</v>
      </c>
      <c r="B6" s="15" t="s">
        <v>38</v>
      </c>
      <c r="C6" s="25">
        <v>638745</v>
      </c>
      <c r="D6" s="25">
        <v>638745</v>
      </c>
      <c r="E6" s="25">
        <v>638745</v>
      </c>
      <c r="F6" s="25">
        <v>638745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26">
        <f>D6-C6</f>
      </c>
      <c r="L6" s="26">
        <f>E6-C6</f>
      </c>
    </row>
    <row r="7" spans="1:12" x14ac:dyDescent="0.25">
      <c r="A7" s="15" t="s">
        <v>10</v>
      </c>
      <c r="B7" s="15" t="s">
        <v>39</v>
      </c>
      <c r="C7" s="25">
        <v>636851</v>
      </c>
      <c r="D7" s="25">
        <v>636851</v>
      </c>
      <c r="E7" s="25">
        <v>636851</v>
      </c>
      <c r="F7" s="25">
        <v>636851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26">
        <f>D7-C7</f>
      </c>
      <c r="L7" s="26">
        <f>E7-C7</f>
      </c>
    </row>
    <row r="8" spans="1:12" x14ac:dyDescent="0.25">
      <c r="A8" s="15" t="s">
        <v>10</v>
      </c>
      <c r="B8" s="15" t="s">
        <v>40</v>
      </c>
      <c r="C8" s="25">
        <v>734579</v>
      </c>
      <c r="D8" s="25">
        <v>734579</v>
      </c>
      <c r="E8" s="25">
        <v>734579</v>
      </c>
      <c r="F8" s="25">
        <v>734579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26">
        <f>D8-C8</f>
      </c>
      <c r="L8" s="26">
        <f>E8-C8</f>
      </c>
    </row>
    <row r="9" spans="1:12" x14ac:dyDescent="0.25">
      <c r="A9" s="15" t="s">
        <v>10</v>
      </c>
      <c r="B9" s="15" t="s">
        <v>41</v>
      </c>
      <c r="C9" s="25">
        <v>900899</v>
      </c>
      <c r="D9" s="25">
        <v>900899</v>
      </c>
      <c r="E9" s="25">
        <v>900899</v>
      </c>
      <c r="F9" s="25">
        <v>900899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26">
        <f>D9-C9</f>
      </c>
      <c r="L9" s="26">
        <f>E9-C9</f>
      </c>
    </row>
    <row r="10" spans="1:12" x14ac:dyDescent="0.25">
      <c r="A10" s="15" t="s">
        <v>10</v>
      </c>
      <c r="B10" s="15" t="s">
        <v>42</v>
      </c>
      <c r="C10" s="25">
        <v>574795</v>
      </c>
      <c r="D10" s="25">
        <v>574795</v>
      </c>
      <c r="E10" s="25">
        <v>574795</v>
      </c>
      <c r="F10" s="25">
        <v>574795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26">
        <f>D10-C10</f>
      </c>
      <c r="L10" s="26">
        <f>E10-C10</f>
      </c>
    </row>
    <row r="11" spans="1:12" x14ac:dyDescent="0.25">
      <c r="A11" s="15" t="s">
        <v>10</v>
      </c>
      <c r="B11" s="15" t="s">
        <v>43</v>
      </c>
      <c r="C11" s="25">
        <v>519363</v>
      </c>
      <c r="D11" s="25">
        <v>519363</v>
      </c>
      <c r="E11" s="25">
        <v>519363</v>
      </c>
      <c r="F11" s="25">
        <v>519363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26">
        <f>D11-C11</f>
      </c>
      <c r="L11" s="26">
        <f>E11-C11</f>
      </c>
    </row>
    <row r="12" spans="1:12" x14ac:dyDescent="0.25">
      <c r="A12" s="15" t="s">
        <v>10</v>
      </c>
      <c r="B12" s="15" t="s">
        <v>44</v>
      </c>
      <c r="C12" s="25">
        <v>453569</v>
      </c>
      <c r="D12" s="25">
        <v>453569</v>
      </c>
      <c r="E12" s="25">
        <v>453569</v>
      </c>
      <c r="F12" s="25">
        <v>453569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26">
        <f>D12-C12</f>
      </c>
      <c r="L12" s="26">
        <f>E12-C12</f>
      </c>
    </row>
    <row r="13" spans="1:12" x14ac:dyDescent="0.25">
      <c r="A13" s="15" t="s">
        <v>10</v>
      </c>
      <c r="B13" s="15" t="s">
        <v>45</v>
      </c>
      <c r="C13" s="25">
        <v>362887</v>
      </c>
      <c r="D13" s="25">
        <v>362883</v>
      </c>
      <c r="E13" s="25">
        <v>362865</v>
      </c>
      <c r="F13" s="25">
        <v>362865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26">
        <f>D13-C13</f>
      </c>
      <c r="L13" s="26">
        <f>E13-C13</f>
      </c>
    </row>
    <row r="14" spans="1:12" x14ac:dyDescent="0.25">
      <c r="A14" s="8" t="s">
        <v>10</v>
      </c>
      <c r="B14" s="8" t="s">
        <v>46</v>
      </c>
      <c r="C14" s="27">
        <f>SUM(C5:C13)</f>
      </c>
      <c r="D14" s="27">
        <f>SUM(D5:D13)</f>
      </c>
      <c r="E14" s="27">
        <f>SUM(E5:E13)</f>
      </c>
      <c r="F14" s="27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28">
        <f>D14-C14</f>
      </c>
      <c r="L14" s="28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25">
        <v>117094</v>
      </c>
      <c r="D16" s="25">
        <v>117094</v>
      </c>
      <c r="E16" s="25">
        <v>619782</v>
      </c>
      <c r="F16" s="25">
        <v>117094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26">
        <f>D16-C16</f>
      </c>
      <c r="L16" s="26">
        <f>E16-C16</f>
      </c>
    </row>
    <row r="17" spans="1:12" x14ac:dyDescent="0.25">
      <c r="A17" s="15" t="s">
        <v>12</v>
      </c>
      <c r="B17" s="15" t="s">
        <v>38</v>
      </c>
      <c r="C17" s="25">
        <v>77017</v>
      </c>
      <c r="D17" s="25">
        <v>77017</v>
      </c>
      <c r="E17" s="25">
        <v>395281</v>
      </c>
      <c r="F17" s="25">
        <v>77017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26">
        <f>D17-C17</f>
      </c>
      <c r="L17" s="26">
        <f>E17-C17</f>
      </c>
    </row>
    <row r="18" spans="1:12" x14ac:dyDescent="0.25">
      <c r="A18" s="15" t="s">
        <v>12</v>
      </c>
      <c r="B18" s="15" t="s">
        <v>39</v>
      </c>
      <c r="C18" s="25">
        <v>80411</v>
      </c>
      <c r="D18" s="25">
        <v>80411</v>
      </c>
      <c r="E18" s="25">
        <v>337083</v>
      </c>
      <c r="F18" s="25">
        <v>80411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26">
        <f>D18-C18</f>
      </c>
      <c r="L18" s="26">
        <f>E18-C18</f>
      </c>
    </row>
    <row r="19" spans="1:12" x14ac:dyDescent="0.25">
      <c r="A19" s="15" t="s">
        <v>12</v>
      </c>
      <c r="B19" s="15" t="s">
        <v>40</v>
      </c>
      <c r="C19" s="25">
        <v>82102</v>
      </c>
      <c r="D19" s="25">
        <v>82102</v>
      </c>
      <c r="E19" s="25">
        <v>354518</v>
      </c>
      <c r="F19" s="25">
        <v>82102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26">
        <f>D19-C19</f>
      </c>
      <c r="L19" s="26">
        <f>E19-C19</f>
      </c>
    </row>
    <row r="20" spans="1:12" x14ac:dyDescent="0.25">
      <c r="A20" s="15" t="s">
        <v>12</v>
      </c>
      <c r="B20" s="15" t="s">
        <v>41</v>
      </c>
      <c r="C20" s="25">
        <v>65439</v>
      </c>
      <c r="D20" s="25">
        <v>65439</v>
      </c>
      <c r="E20" s="25">
        <v>323623</v>
      </c>
      <c r="F20" s="25">
        <v>65439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26">
        <f>D20-C20</f>
      </c>
      <c r="L20" s="26">
        <f>E20-C20</f>
      </c>
    </row>
    <row r="21" spans="1:12" x14ac:dyDescent="0.25">
      <c r="A21" s="15" t="s">
        <v>12</v>
      </c>
      <c r="B21" s="15" t="s">
        <v>42</v>
      </c>
      <c r="C21" s="25">
        <v>58716</v>
      </c>
      <c r="D21" s="25">
        <v>58716</v>
      </c>
      <c r="E21" s="25">
        <v>353292</v>
      </c>
      <c r="F21" s="25">
        <v>58716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26">
        <f>D21-C21</f>
      </c>
      <c r="L21" s="26">
        <f>E21-C21</f>
      </c>
    </row>
    <row r="22" spans="1:12" x14ac:dyDescent="0.25">
      <c r="A22" s="15" t="s">
        <v>12</v>
      </c>
      <c r="B22" s="15" t="s">
        <v>43</v>
      </c>
      <c r="C22" s="25">
        <v>75049</v>
      </c>
      <c r="D22" s="25">
        <v>75049</v>
      </c>
      <c r="E22" s="25">
        <v>380041</v>
      </c>
      <c r="F22" s="25">
        <v>75049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26">
        <f>D22-C22</f>
      </c>
      <c r="L22" s="26">
        <f>E22-C22</f>
      </c>
    </row>
    <row r="23" spans="1:12" x14ac:dyDescent="0.25">
      <c r="A23" s="15" t="s">
        <v>12</v>
      </c>
      <c r="B23" s="15" t="s">
        <v>44</v>
      </c>
      <c r="C23" s="25">
        <v>71007</v>
      </c>
      <c r="D23" s="25">
        <v>71007</v>
      </c>
      <c r="E23" s="25">
        <v>372527</v>
      </c>
      <c r="F23" s="25">
        <v>71007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26">
        <f>D23-C23</f>
      </c>
      <c r="L23" s="26">
        <f>E23-C23</f>
      </c>
    </row>
    <row r="24" spans="1:12" x14ac:dyDescent="0.25">
      <c r="A24" s="15" t="s">
        <v>12</v>
      </c>
      <c r="B24" s="15" t="s">
        <v>45</v>
      </c>
      <c r="C24" s="25">
        <v>38753</v>
      </c>
      <c r="D24" s="25">
        <v>38755</v>
      </c>
      <c r="E24" s="25">
        <v>110667</v>
      </c>
      <c r="F24" s="25">
        <v>38755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26">
        <f>D24-C24</f>
      </c>
      <c r="L24" s="26">
        <f>E24-C24</f>
      </c>
    </row>
    <row r="25" spans="1:12" x14ac:dyDescent="0.25">
      <c r="A25" s="8" t="s">
        <v>12</v>
      </c>
      <c r="B25" s="8" t="s">
        <v>46</v>
      </c>
      <c r="C25" s="27">
        <f>SUM(C16:C24)</f>
      </c>
      <c r="D25" s="27">
        <f>SUM(D16:D24)</f>
      </c>
      <c r="E25" s="27">
        <f>SUM(E16:E24)</f>
      </c>
      <c r="F25" s="27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28">
        <f>D25-C25</f>
      </c>
      <c r="L25" s="28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25">
        <v>7318</v>
      </c>
      <c r="D27" s="25">
        <v>7281</v>
      </c>
      <c r="E27" s="25">
        <v>50967</v>
      </c>
      <c r="F27" s="25">
        <v>7281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26">
        <f>D27-C27</f>
      </c>
      <c r="L27" s="26">
        <f>E27-C27</f>
      </c>
    </row>
    <row r="28" spans="1:12" x14ac:dyDescent="0.25">
      <c r="A28" s="15" t="s">
        <v>14</v>
      </c>
      <c r="B28" s="15" t="s">
        <v>38</v>
      </c>
      <c r="C28" s="25">
        <v>5031</v>
      </c>
      <c r="D28" s="25">
        <v>5031</v>
      </c>
      <c r="E28" s="25">
        <v>37526</v>
      </c>
      <c r="F28" s="25">
        <v>5031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26">
        <f>D28-C28</f>
      </c>
      <c r="L28" s="26">
        <f>E28-C28</f>
      </c>
    </row>
    <row r="29" spans="1:12" x14ac:dyDescent="0.25">
      <c r="A29" s="15" t="s">
        <v>14</v>
      </c>
      <c r="B29" s="15" t="s">
        <v>39</v>
      </c>
      <c r="C29" s="25">
        <v>3910</v>
      </c>
      <c r="D29" s="25">
        <v>3910</v>
      </c>
      <c r="E29" s="25">
        <v>26157</v>
      </c>
      <c r="F29" s="25">
        <v>3910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26">
        <f>D29-C29</f>
      </c>
      <c r="L29" s="26">
        <f>E29-C29</f>
      </c>
    </row>
    <row r="30" spans="1:12" x14ac:dyDescent="0.25">
      <c r="A30" s="15" t="s">
        <v>14</v>
      </c>
      <c r="B30" s="15" t="s">
        <v>40</v>
      </c>
      <c r="C30" s="25">
        <v>3378</v>
      </c>
      <c r="D30" s="25">
        <v>3378</v>
      </c>
      <c r="E30" s="25">
        <v>22595</v>
      </c>
      <c r="F30" s="25">
        <v>3378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26">
        <f>D30-C30</f>
      </c>
      <c r="L30" s="26">
        <f>E30-C30</f>
      </c>
    </row>
    <row r="31" spans="1:12" x14ac:dyDescent="0.25">
      <c r="A31" s="15" t="s">
        <v>14</v>
      </c>
      <c r="B31" s="15" t="s">
        <v>41</v>
      </c>
      <c r="C31" s="25">
        <v>2919</v>
      </c>
      <c r="D31" s="25">
        <v>2919</v>
      </c>
      <c r="E31" s="25">
        <v>14273</v>
      </c>
      <c r="F31" s="25">
        <v>2919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26">
        <f>D31-C31</f>
      </c>
      <c r="L31" s="26">
        <f>E31-C31</f>
      </c>
    </row>
    <row r="32" spans="1:12" x14ac:dyDescent="0.25">
      <c r="A32" s="15" t="s">
        <v>14</v>
      </c>
      <c r="B32" s="15" t="s">
        <v>42</v>
      </c>
      <c r="C32" s="25">
        <v>4704</v>
      </c>
      <c r="D32" s="25">
        <v>4704</v>
      </c>
      <c r="E32" s="25">
        <v>30006</v>
      </c>
      <c r="F32" s="25">
        <v>4704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26">
        <f>D32-C32</f>
      </c>
      <c r="L32" s="26">
        <f>E32-C32</f>
      </c>
    </row>
    <row r="33" spans="1:12" x14ac:dyDescent="0.25">
      <c r="A33" s="15" t="s">
        <v>14</v>
      </c>
      <c r="B33" s="15" t="s">
        <v>43</v>
      </c>
      <c r="C33" s="25">
        <v>7620</v>
      </c>
      <c r="D33" s="25">
        <v>7620</v>
      </c>
      <c r="E33" s="25">
        <v>51128</v>
      </c>
      <c r="F33" s="25">
        <v>7620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26">
        <f>D33-C33</f>
      </c>
      <c r="L33" s="26">
        <f>E33-C33</f>
      </c>
    </row>
    <row r="34" spans="1:12" x14ac:dyDescent="0.25">
      <c r="A34" s="15" t="s">
        <v>14</v>
      </c>
      <c r="B34" s="15" t="s">
        <v>44</v>
      </c>
      <c r="C34" s="25">
        <v>15990</v>
      </c>
      <c r="D34" s="25">
        <v>15990</v>
      </c>
      <c r="E34" s="25">
        <v>100722</v>
      </c>
      <c r="F34" s="25">
        <v>15990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26">
        <f>D34-C34</f>
      </c>
      <c r="L34" s="26">
        <f>E34-C34</f>
      </c>
    </row>
    <row r="35" spans="1:12" x14ac:dyDescent="0.25">
      <c r="A35" s="15" t="s">
        <v>14</v>
      </c>
      <c r="B35" s="15" t="s">
        <v>45</v>
      </c>
      <c r="C35" s="25">
        <v>14186</v>
      </c>
      <c r="D35" s="25">
        <v>14186</v>
      </c>
      <c r="E35" s="25">
        <v>73168</v>
      </c>
      <c r="F35" s="25">
        <v>14186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26">
        <f>D35-C35</f>
      </c>
      <c r="L35" s="26">
        <f>E35-C35</f>
      </c>
    </row>
    <row r="36" spans="1:12" x14ac:dyDescent="0.25">
      <c r="A36" s="8" t="s">
        <v>14</v>
      </c>
      <c r="B36" s="8" t="s">
        <v>46</v>
      </c>
      <c r="C36" s="27">
        <f>SUM(C27:C35)</f>
      </c>
      <c r="D36" s="27">
        <f>SUM(D27:D35)</f>
      </c>
      <c r="E36" s="27">
        <f>SUM(E27:E35)</f>
      </c>
      <c r="F36" s="27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28">
        <f>D36-C36</f>
      </c>
      <c r="L36" s="28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25">
        <v>7558</v>
      </c>
      <c r="D38" s="25">
        <v>7554</v>
      </c>
      <c r="E38" s="25">
        <v>21378</v>
      </c>
      <c r="F38" s="25">
        <v>7554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26">
        <f>D38-C38</f>
      </c>
      <c r="L38" s="26">
        <f>E38-C38</f>
      </c>
    </row>
    <row r="39" spans="1:12" x14ac:dyDescent="0.25">
      <c r="A39" s="15" t="s">
        <v>16</v>
      </c>
      <c r="B39" s="15" t="s">
        <v>38</v>
      </c>
      <c r="C39" s="25">
        <v>5577</v>
      </c>
      <c r="D39" s="25">
        <v>5544</v>
      </c>
      <c r="E39" s="25">
        <v>16396</v>
      </c>
      <c r="F39" s="25">
        <v>5544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26">
        <f>D39-C39</f>
      </c>
      <c r="L39" s="26">
        <f>E39-C39</f>
      </c>
    </row>
    <row r="40" spans="1:12" x14ac:dyDescent="0.25">
      <c r="A40" s="15" t="s">
        <v>16</v>
      </c>
      <c r="B40" s="15" t="s">
        <v>39</v>
      </c>
      <c r="C40" s="25">
        <v>6985</v>
      </c>
      <c r="D40" s="25">
        <v>6984</v>
      </c>
      <c r="E40" s="25">
        <v>21292</v>
      </c>
      <c r="F40" s="25">
        <v>6984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26">
        <f>D40-C40</f>
      </c>
      <c r="L40" s="26">
        <f>E40-C40</f>
      </c>
    </row>
    <row r="41" spans="1:12" x14ac:dyDescent="0.25">
      <c r="A41" s="15" t="s">
        <v>16</v>
      </c>
      <c r="B41" s="15" t="s">
        <v>40</v>
      </c>
      <c r="C41" s="25">
        <v>7545</v>
      </c>
      <c r="D41" s="25">
        <v>7308</v>
      </c>
      <c r="E41" s="25">
        <v>24603</v>
      </c>
      <c r="F41" s="25">
        <v>7308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26">
        <f>D41-C41</f>
      </c>
      <c r="L41" s="26">
        <f>E41-C41</f>
      </c>
    </row>
    <row r="42" spans="1:12" x14ac:dyDescent="0.25">
      <c r="A42" s="15" t="s">
        <v>16</v>
      </c>
      <c r="B42" s="15" t="s">
        <v>41</v>
      </c>
      <c r="C42" s="25">
        <v>4090</v>
      </c>
      <c r="D42" s="25">
        <v>3907</v>
      </c>
      <c r="E42" s="25">
        <v>10357</v>
      </c>
      <c r="F42" s="25">
        <v>3907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26">
        <f>D42-C42</f>
      </c>
      <c r="L42" s="26">
        <f>E42-C42</f>
      </c>
    </row>
    <row r="43" spans="1:12" x14ac:dyDescent="0.25">
      <c r="A43" s="15" t="s">
        <v>16</v>
      </c>
      <c r="B43" s="15" t="s">
        <v>42</v>
      </c>
      <c r="C43" s="25">
        <v>6263</v>
      </c>
      <c r="D43" s="25">
        <v>6076</v>
      </c>
      <c r="E43" s="25">
        <v>12720</v>
      </c>
      <c r="F43" s="25">
        <v>6076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26">
        <f>D43-C43</f>
      </c>
      <c r="L43" s="26">
        <f>E43-C43</f>
      </c>
    </row>
    <row r="44" spans="1:12" x14ac:dyDescent="0.25">
      <c r="A44" s="15" t="s">
        <v>16</v>
      </c>
      <c r="B44" s="15" t="s">
        <v>43</v>
      </c>
      <c r="C44" s="25">
        <v>3703</v>
      </c>
      <c r="D44" s="25">
        <v>3620</v>
      </c>
      <c r="E44" s="25">
        <v>6878</v>
      </c>
      <c r="F44" s="25">
        <v>3620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26">
        <f>D44-C44</f>
      </c>
      <c r="L44" s="26">
        <f>E44-C44</f>
      </c>
    </row>
    <row r="45" spans="1:12" x14ac:dyDescent="0.25">
      <c r="A45" s="15" t="s">
        <v>16</v>
      </c>
      <c r="B45" s="15" t="s">
        <v>44</v>
      </c>
      <c r="C45" s="25">
        <v>3895</v>
      </c>
      <c r="D45" s="25">
        <v>3895</v>
      </c>
      <c r="E45" s="25">
        <v>4737</v>
      </c>
      <c r="F45" s="25">
        <v>3895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26">
        <f>D45-C45</f>
      </c>
      <c r="L45" s="26">
        <f>E45-C45</f>
      </c>
    </row>
    <row r="46" spans="1:12" x14ac:dyDescent="0.25">
      <c r="A46" s="15" t="s">
        <v>16</v>
      </c>
      <c r="B46" s="15" t="s">
        <v>45</v>
      </c>
      <c r="C46" s="25">
        <v>6846</v>
      </c>
      <c r="D46" s="25">
        <v>6843</v>
      </c>
      <c r="E46" s="25">
        <v>12927</v>
      </c>
      <c r="F46" s="25">
        <v>6843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26">
        <f>D46-C46</f>
      </c>
      <c r="L46" s="26">
        <f>E46-C46</f>
      </c>
    </row>
    <row r="47" spans="1:12" x14ac:dyDescent="0.25">
      <c r="A47" s="8" t="s">
        <v>16</v>
      </c>
      <c r="B47" s="8" t="s">
        <v>46</v>
      </c>
      <c r="C47" s="27">
        <f>SUM(C38:C46)</f>
      </c>
      <c r="D47" s="27">
        <f>SUM(D38:D46)</f>
      </c>
      <c r="E47" s="27">
        <f>SUM(E38:E46)</f>
      </c>
      <c r="F47" s="27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28">
        <f>D47-C47</f>
      </c>
      <c r="L47" s="28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9">
        <f>C14+C25+C36+C47</f>
      </c>
      <c r="D49" s="29">
        <f>D14+D25+D36+D47</f>
      </c>
      <c r="E49" s="29">
        <f>E14+E25+E36+E47</f>
      </c>
      <c r="F49" s="29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30">
        <f>D49-C49</f>
      </c>
      <c r="L49" s="30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6" priority="1">
      <formula>AND(ISNUMBER(G5),ABS(G5)&lt;=0.01)</formula>
    </cfRule>
    <cfRule type="expression" dxfId="7" priority="2">
      <formula>AND(ISNUMBER(G5),ABS(G5)&lt;=0.05)</formula>
    </cfRule>
    <cfRule type="expression" dxfId="8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25">
        <v>56395571</v>
      </c>
      <c r="D5" s="25">
        <v>56395571</v>
      </c>
      <c r="E5" s="25">
        <v>56395571</v>
      </c>
      <c r="F5" s="25">
        <v>56395571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26">
        <f>D5-C5</f>
      </c>
      <c r="L5" s="26">
        <f>E5-C5</f>
      </c>
    </row>
    <row r="6" spans="1:12" x14ac:dyDescent="0.25">
      <c r="A6" s="15" t="s">
        <v>10</v>
      </c>
      <c r="B6" s="15" t="s">
        <v>38</v>
      </c>
      <c r="C6" s="25">
        <v>49448508</v>
      </c>
      <c r="D6" s="25">
        <v>49448508</v>
      </c>
      <c r="E6" s="25">
        <v>49448508</v>
      </c>
      <c r="F6" s="25">
        <v>49448508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26">
        <f>D6-C6</f>
      </c>
      <c r="L6" s="26">
        <f>E6-C6</f>
      </c>
    </row>
    <row r="7" spans="1:12" x14ac:dyDescent="0.25">
      <c r="A7" s="15" t="s">
        <v>10</v>
      </c>
      <c r="B7" s="15" t="s">
        <v>39</v>
      </c>
      <c r="C7" s="25">
        <v>51977449</v>
      </c>
      <c r="D7" s="25">
        <v>51977449</v>
      </c>
      <c r="E7" s="25">
        <v>51977449</v>
      </c>
      <c r="F7" s="25">
        <v>51977449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26">
        <f>D7-C7</f>
      </c>
      <c r="L7" s="26">
        <f>E7-C7</f>
      </c>
    </row>
    <row r="8" spans="1:12" x14ac:dyDescent="0.25">
      <c r="A8" s="15" t="s">
        <v>10</v>
      </c>
      <c r="B8" s="15" t="s">
        <v>40</v>
      </c>
      <c r="C8" s="25">
        <v>54828315</v>
      </c>
      <c r="D8" s="25">
        <v>54828315</v>
      </c>
      <c r="E8" s="25">
        <v>54828315</v>
      </c>
      <c r="F8" s="25">
        <v>54828315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26">
        <f>D8-C8</f>
      </c>
      <c r="L8" s="26">
        <f>E8-C8</f>
      </c>
    </row>
    <row r="9" spans="1:12" x14ac:dyDescent="0.25">
      <c r="A9" s="15" t="s">
        <v>10</v>
      </c>
      <c r="B9" s="15" t="s">
        <v>41</v>
      </c>
      <c r="C9" s="25">
        <v>47202597</v>
      </c>
      <c r="D9" s="25">
        <v>47202597</v>
      </c>
      <c r="E9" s="25">
        <v>47202597</v>
      </c>
      <c r="F9" s="25">
        <v>47202597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26">
        <f>D9-C9</f>
      </c>
      <c r="L9" s="26">
        <f>E9-C9</f>
      </c>
    </row>
    <row r="10" spans="1:12" x14ac:dyDescent="0.25">
      <c r="A10" s="15" t="s">
        <v>10</v>
      </c>
      <c r="B10" s="15" t="s">
        <v>42</v>
      </c>
      <c r="C10" s="25">
        <v>44496540</v>
      </c>
      <c r="D10" s="25">
        <v>44496540</v>
      </c>
      <c r="E10" s="25">
        <v>44496540</v>
      </c>
      <c r="F10" s="25">
        <v>44496540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26">
        <f>D10-C10</f>
      </c>
      <c r="L10" s="26">
        <f>E10-C10</f>
      </c>
    </row>
    <row r="11" spans="1:12" x14ac:dyDescent="0.25">
      <c r="A11" s="15" t="s">
        <v>10</v>
      </c>
      <c r="B11" s="15" t="s">
        <v>43</v>
      </c>
      <c r="C11" s="25">
        <v>54292782</v>
      </c>
      <c r="D11" s="25">
        <v>54292782</v>
      </c>
      <c r="E11" s="25">
        <v>54292782</v>
      </c>
      <c r="F11" s="25">
        <v>54292782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26">
        <f>D11-C11</f>
      </c>
      <c r="L11" s="26">
        <f>E11-C11</f>
      </c>
    </row>
    <row r="12" spans="1:12" x14ac:dyDescent="0.25">
      <c r="A12" s="15" t="s">
        <v>10</v>
      </c>
      <c r="B12" s="15" t="s">
        <v>44</v>
      </c>
      <c r="C12" s="25">
        <v>51897260</v>
      </c>
      <c r="D12" s="25">
        <v>51897260</v>
      </c>
      <c r="E12" s="25">
        <v>51897260</v>
      </c>
      <c r="F12" s="25">
        <v>51897260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26">
        <f>D12-C12</f>
      </c>
      <c r="L12" s="26">
        <f>E12-C12</f>
      </c>
    </row>
    <row r="13" spans="1:12" x14ac:dyDescent="0.25">
      <c r="A13" s="15" t="s">
        <v>10</v>
      </c>
      <c r="B13" s="15" t="s">
        <v>45</v>
      </c>
      <c r="C13" s="25">
        <v>36346812</v>
      </c>
      <c r="D13" s="25">
        <v>36346348</v>
      </c>
      <c r="E13" s="25">
        <v>36344559</v>
      </c>
      <c r="F13" s="25">
        <v>36344559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26">
        <f>D13-C13</f>
      </c>
      <c r="L13" s="26">
        <f>E13-C13</f>
      </c>
    </row>
    <row r="14" spans="1:12" x14ac:dyDescent="0.25">
      <c r="A14" s="8" t="s">
        <v>10</v>
      </c>
      <c r="B14" s="8" t="s">
        <v>46</v>
      </c>
      <c r="C14" s="27">
        <f>SUM(C5:C13)</f>
      </c>
      <c r="D14" s="27">
        <f>SUM(D5:D13)</f>
      </c>
      <c r="E14" s="27">
        <f>SUM(E5:E13)</f>
      </c>
      <c r="F14" s="27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28">
        <f>D14-C14</f>
      </c>
      <c r="L14" s="28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25">
        <v>11985029</v>
      </c>
      <c r="D16" s="25">
        <v>11985029</v>
      </c>
      <c r="E16" s="25">
        <v>87079693</v>
      </c>
      <c r="F16" s="25">
        <v>11985029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26">
        <f>D16-C16</f>
      </c>
      <c r="L16" s="26">
        <f>E16-C16</f>
      </c>
    </row>
    <row r="17" spans="1:12" x14ac:dyDescent="0.25">
      <c r="A17" s="15" t="s">
        <v>12</v>
      </c>
      <c r="B17" s="15" t="s">
        <v>38</v>
      </c>
      <c r="C17" s="25">
        <v>7720563</v>
      </c>
      <c r="D17" s="25">
        <v>7720563</v>
      </c>
      <c r="E17" s="25">
        <v>50763579</v>
      </c>
      <c r="F17" s="25">
        <v>7720563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26">
        <f>D17-C17</f>
      </c>
      <c r="L17" s="26">
        <f>E17-C17</f>
      </c>
    </row>
    <row r="18" spans="1:12" x14ac:dyDescent="0.25">
      <c r="A18" s="15" t="s">
        <v>12</v>
      </c>
      <c r="B18" s="15" t="s">
        <v>39</v>
      </c>
      <c r="C18" s="25">
        <v>6051327</v>
      </c>
      <c r="D18" s="25">
        <v>6051327</v>
      </c>
      <c r="E18" s="25">
        <v>33926647</v>
      </c>
      <c r="F18" s="25">
        <v>6051327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26">
        <f>D18-C18</f>
      </c>
      <c r="L18" s="26">
        <f>E18-C18</f>
      </c>
    </row>
    <row r="19" spans="1:12" x14ac:dyDescent="0.25">
      <c r="A19" s="15" t="s">
        <v>12</v>
      </c>
      <c r="B19" s="15" t="s">
        <v>40</v>
      </c>
      <c r="C19" s="25">
        <v>5554588</v>
      </c>
      <c r="D19" s="25">
        <v>5554588</v>
      </c>
      <c r="E19" s="25">
        <v>36515516</v>
      </c>
      <c r="F19" s="25">
        <v>5554588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26">
        <f>D19-C19</f>
      </c>
      <c r="L19" s="26">
        <f>E19-C19</f>
      </c>
    </row>
    <row r="20" spans="1:12" x14ac:dyDescent="0.25">
      <c r="A20" s="15" t="s">
        <v>12</v>
      </c>
      <c r="B20" s="15" t="s">
        <v>41</v>
      </c>
      <c r="C20" s="25">
        <v>3671540</v>
      </c>
      <c r="D20" s="25">
        <v>3671540</v>
      </c>
      <c r="E20" s="25">
        <v>24557956</v>
      </c>
      <c r="F20" s="25">
        <v>3671540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26">
        <f>D20-C20</f>
      </c>
      <c r="L20" s="26">
        <f>E20-C20</f>
      </c>
    </row>
    <row r="21" spans="1:12" x14ac:dyDescent="0.25">
      <c r="A21" s="15" t="s">
        <v>12</v>
      </c>
      <c r="B21" s="15" t="s">
        <v>42</v>
      </c>
      <c r="C21" s="25">
        <v>2813676</v>
      </c>
      <c r="D21" s="25">
        <v>2813676</v>
      </c>
      <c r="E21" s="25">
        <v>18396204</v>
      </c>
      <c r="F21" s="25">
        <v>2813676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26">
        <f>D21-C21</f>
      </c>
      <c r="L21" s="26">
        <f>E21-C21</f>
      </c>
    </row>
    <row r="22" spans="1:12" x14ac:dyDescent="0.25">
      <c r="A22" s="15" t="s">
        <v>12</v>
      </c>
      <c r="B22" s="15" t="s">
        <v>43</v>
      </c>
      <c r="C22" s="25">
        <v>2230047</v>
      </c>
      <c r="D22" s="25">
        <v>2230047</v>
      </c>
      <c r="E22" s="25">
        <v>11177087</v>
      </c>
      <c r="F22" s="25">
        <v>2230047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26">
        <f>D22-C22</f>
      </c>
      <c r="L22" s="26">
        <f>E22-C22</f>
      </c>
    </row>
    <row r="23" spans="1:12" x14ac:dyDescent="0.25">
      <c r="A23" s="15" t="s">
        <v>12</v>
      </c>
      <c r="B23" s="15" t="s">
        <v>44</v>
      </c>
      <c r="C23" s="25">
        <v>1750643</v>
      </c>
      <c r="D23" s="25">
        <v>1750643</v>
      </c>
      <c r="E23" s="25">
        <v>8085571</v>
      </c>
      <c r="F23" s="25">
        <v>1750643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26">
        <f>D23-C23</f>
      </c>
      <c r="L23" s="26">
        <f>E23-C23</f>
      </c>
    </row>
    <row r="24" spans="1:12" x14ac:dyDescent="0.25">
      <c r="A24" s="15" t="s">
        <v>12</v>
      </c>
      <c r="B24" s="15" t="s">
        <v>45</v>
      </c>
      <c r="C24" s="25">
        <v>953214</v>
      </c>
      <c r="D24" s="25">
        <v>953210</v>
      </c>
      <c r="E24" s="25">
        <v>1990090</v>
      </c>
      <c r="F24" s="25">
        <v>953186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26">
        <f>D24-C24</f>
      </c>
      <c r="L24" s="26">
        <f>E24-C24</f>
      </c>
    </row>
    <row r="25" spans="1:12" x14ac:dyDescent="0.25">
      <c r="A25" s="8" t="s">
        <v>12</v>
      </c>
      <c r="B25" s="8" t="s">
        <v>46</v>
      </c>
      <c r="C25" s="27">
        <f>SUM(C16:C24)</f>
      </c>
      <c r="D25" s="27">
        <f>SUM(D16:D24)</f>
      </c>
      <c r="E25" s="27">
        <f>SUM(E16:E24)</f>
      </c>
      <c r="F25" s="27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28">
        <f>D25-C25</f>
      </c>
      <c r="L25" s="28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25">
        <v>3309751</v>
      </c>
      <c r="D27" s="25">
        <v>3295790</v>
      </c>
      <c r="E27" s="25">
        <v>23069878</v>
      </c>
      <c r="F27" s="25">
        <v>3295790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26">
        <f>D27-C27</f>
      </c>
      <c r="L27" s="26">
        <f>E27-C27</f>
      </c>
    </row>
    <row r="28" spans="1:12" x14ac:dyDescent="0.25">
      <c r="A28" s="15" t="s">
        <v>14</v>
      </c>
      <c r="B28" s="15" t="s">
        <v>38</v>
      </c>
      <c r="C28" s="25">
        <v>1969530</v>
      </c>
      <c r="D28" s="25">
        <v>1969530</v>
      </c>
      <c r="E28" s="25">
        <v>14655475</v>
      </c>
      <c r="F28" s="25">
        <v>1969530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26">
        <f>D28-C28</f>
      </c>
      <c r="L28" s="26">
        <f>E28-C28</f>
      </c>
    </row>
    <row r="29" spans="1:12" x14ac:dyDescent="0.25">
      <c r="A29" s="15" t="s">
        <v>14</v>
      </c>
      <c r="B29" s="15" t="s">
        <v>39</v>
      </c>
      <c r="C29" s="25">
        <v>1585434</v>
      </c>
      <c r="D29" s="25">
        <v>1585437</v>
      </c>
      <c r="E29" s="25">
        <v>10645102</v>
      </c>
      <c r="F29" s="25">
        <v>1585437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26">
        <f>D29-C29</f>
      </c>
      <c r="L29" s="26">
        <f>E29-C29</f>
      </c>
    </row>
    <row r="30" spans="1:12" x14ac:dyDescent="0.25">
      <c r="A30" s="15" t="s">
        <v>14</v>
      </c>
      <c r="B30" s="15" t="s">
        <v>40</v>
      </c>
      <c r="C30" s="25">
        <v>1288292</v>
      </c>
      <c r="D30" s="25">
        <v>1288292</v>
      </c>
      <c r="E30" s="25">
        <v>8631981</v>
      </c>
      <c r="F30" s="25">
        <v>1288292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26">
        <f>D30-C30</f>
      </c>
      <c r="L30" s="26">
        <f>E30-C30</f>
      </c>
    </row>
    <row r="31" spans="1:12" x14ac:dyDescent="0.25">
      <c r="A31" s="15" t="s">
        <v>14</v>
      </c>
      <c r="B31" s="15" t="s">
        <v>41</v>
      </c>
      <c r="C31" s="25">
        <v>903281</v>
      </c>
      <c r="D31" s="25">
        <v>903281</v>
      </c>
      <c r="E31" s="25">
        <v>4416797</v>
      </c>
      <c r="F31" s="25">
        <v>903281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26">
        <f>D31-C31</f>
      </c>
      <c r="L31" s="26">
        <f>E31-C31</f>
      </c>
    </row>
    <row r="32" spans="1:12" x14ac:dyDescent="0.25">
      <c r="A32" s="15" t="s">
        <v>14</v>
      </c>
      <c r="B32" s="15" t="s">
        <v>42</v>
      </c>
      <c r="C32" s="25">
        <v>426074</v>
      </c>
      <c r="D32" s="25">
        <v>426074</v>
      </c>
      <c r="E32" s="25">
        <v>2729170</v>
      </c>
      <c r="F32" s="25">
        <v>426074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26">
        <f>D32-C32</f>
      </c>
      <c r="L32" s="26">
        <f>E32-C32</f>
      </c>
    </row>
    <row r="33" spans="1:12" x14ac:dyDescent="0.25">
      <c r="A33" s="15" t="s">
        <v>14</v>
      </c>
      <c r="B33" s="15" t="s">
        <v>43</v>
      </c>
      <c r="C33" s="25">
        <v>528460</v>
      </c>
      <c r="D33" s="25">
        <v>528460</v>
      </c>
      <c r="E33" s="25">
        <v>3544316</v>
      </c>
      <c r="F33" s="25">
        <v>528460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26">
        <f>D33-C33</f>
      </c>
      <c r="L33" s="26">
        <f>E33-C33</f>
      </c>
    </row>
    <row r="34" spans="1:12" x14ac:dyDescent="0.25">
      <c r="A34" s="15" t="s">
        <v>14</v>
      </c>
      <c r="B34" s="15" t="s">
        <v>44</v>
      </c>
      <c r="C34" s="25">
        <v>3971263</v>
      </c>
      <c r="D34" s="25">
        <v>3971263</v>
      </c>
      <c r="E34" s="25">
        <v>24158505</v>
      </c>
      <c r="F34" s="25">
        <v>3971263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26">
        <f>D34-C34</f>
      </c>
      <c r="L34" s="26">
        <f>E34-C34</f>
      </c>
    </row>
    <row r="35" spans="1:12" x14ac:dyDescent="0.25">
      <c r="A35" s="15" t="s">
        <v>14</v>
      </c>
      <c r="B35" s="15" t="s">
        <v>45</v>
      </c>
      <c r="C35" s="25">
        <v>5199974</v>
      </c>
      <c r="D35" s="25">
        <v>5199974</v>
      </c>
      <c r="E35" s="25">
        <v>26109338</v>
      </c>
      <c r="F35" s="25">
        <v>5199974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26">
        <f>D35-C35</f>
      </c>
      <c r="L35" s="26">
        <f>E35-C35</f>
      </c>
    </row>
    <row r="36" spans="1:12" x14ac:dyDescent="0.25">
      <c r="A36" s="8" t="s">
        <v>14</v>
      </c>
      <c r="B36" s="8" t="s">
        <v>46</v>
      </c>
      <c r="C36" s="27">
        <f>SUM(C27:C35)</f>
      </c>
      <c r="D36" s="27">
        <f>SUM(D27:D35)</f>
      </c>
      <c r="E36" s="27">
        <f>SUM(E27:E35)</f>
      </c>
      <c r="F36" s="27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28">
        <f>D36-C36</f>
      </c>
      <c r="L36" s="28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25">
        <v>563902</v>
      </c>
      <c r="D38" s="25">
        <v>563507</v>
      </c>
      <c r="E38" s="25">
        <v>1674911</v>
      </c>
      <c r="F38" s="25">
        <v>563507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26">
        <f>D38-C38</f>
      </c>
      <c r="L38" s="26">
        <f>E38-C38</f>
      </c>
    </row>
    <row r="39" spans="1:12" x14ac:dyDescent="0.25">
      <c r="A39" s="15" t="s">
        <v>16</v>
      </c>
      <c r="B39" s="15" t="s">
        <v>38</v>
      </c>
      <c r="C39" s="25">
        <v>408978</v>
      </c>
      <c r="D39" s="25">
        <v>406634</v>
      </c>
      <c r="E39" s="25">
        <v>1237818</v>
      </c>
      <c r="F39" s="25">
        <v>406634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26">
        <f>D39-C39</f>
      </c>
      <c r="L39" s="26">
        <f>E39-C39</f>
      </c>
    </row>
    <row r="40" spans="1:12" x14ac:dyDescent="0.25">
      <c r="A40" s="15" t="s">
        <v>16</v>
      </c>
      <c r="B40" s="15" t="s">
        <v>39</v>
      </c>
      <c r="C40" s="25">
        <v>519198</v>
      </c>
      <c r="D40" s="25">
        <v>519196</v>
      </c>
      <c r="E40" s="25">
        <v>1756728</v>
      </c>
      <c r="F40" s="25">
        <v>519196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26">
        <f>D40-C40</f>
      </c>
      <c r="L40" s="26">
        <f>E40-C40</f>
      </c>
    </row>
    <row r="41" spans="1:12" x14ac:dyDescent="0.25">
      <c r="A41" s="15" t="s">
        <v>16</v>
      </c>
      <c r="B41" s="15" t="s">
        <v>40</v>
      </c>
      <c r="C41" s="25">
        <v>511256</v>
      </c>
      <c r="D41" s="25">
        <v>490977</v>
      </c>
      <c r="E41" s="25">
        <v>1820812</v>
      </c>
      <c r="F41" s="25">
        <v>490977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26">
        <f>D41-C41</f>
      </c>
      <c r="L41" s="26">
        <f>E41-C41</f>
      </c>
    </row>
    <row r="42" spans="1:12" x14ac:dyDescent="0.25">
      <c r="A42" s="15" t="s">
        <v>16</v>
      </c>
      <c r="B42" s="15" t="s">
        <v>41</v>
      </c>
      <c r="C42" s="25">
        <v>189629</v>
      </c>
      <c r="D42" s="25">
        <v>179048</v>
      </c>
      <c r="E42" s="25">
        <v>536888</v>
      </c>
      <c r="F42" s="25">
        <v>179048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26">
        <f>D42-C42</f>
      </c>
      <c r="L42" s="26">
        <f>E42-C42</f>
      </c>
    </row>
    <row r="43" spans="1:12" x14ac:dyDescent="0.25">
      <c r="A43" s="15" t="s">
        <v>16</v>
      </c>
      <c r="B43" s="15" t="s">
        <v>42</v>
      </c>
      <c r="C43" s="25">
        <v>316493</v>
      </c>
      <c r="D43" s="25">
        <v>307014</v>
      </c>
      <c r="E43" s="25">
        <v>729562</v>
      </c>
      <c r="F43" s="25">
        <v>307014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26">
        <f>D43-C43</f>
      </c>
      <c r="L43" s="26">
        <f>E43-C43</f>
      </c>
    </row>
    <row r="44" spans="1:12" x14ac:dyDescent="0.25">
      <c r="A44" s="15" t="s">
        <v>16</v>
      </c>
      <c r="B44" s="15" t="s">
        <v>43</v>
      </c>
      <c r="C44" s="25">
        <v>283173</v>
      </c>
      <c r="D44" s="25">
        <v>275671</v>
      </c>
      <c r="E44" s="25">
        <v>565075</v>
      </c>
      <c r="F44" s="25">
        <v>275671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26">
        <f>D44-C44</f>
      </c>
      <c r="L44" s="26">
        <f>E44-C44</f>
      </c>
    </row>
    <row r="45" spans="1:12" x14ac:dyDescent="0.25">
      <c r="A45" s="15" t="s">
        <v>16</v>
      </c>
      <c r="B45" s="15" t="s">
        <v>44</v>
      </c>
      <c r="C45" s="25">
        <v>334208</v>
      </c>
      <c r="D45" s="25">
        <v>334208</v>
      </c>
      <c r="E45" s="25">
        <v>411905</v>
      </c>
      <c r="F45" s="25">
        <v>334208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26">
        <f>D45-C45</f>
      </c>
      <c r="L45" s="26">
        <f>E45-C45</f>
      </c>
    </row>
    <row r="46" spans="1:12" x14ac:dyDescent="0.25">
      <c r="A46" s="15" t="s">
        <v>16</v>
      </c>
      <c r="B46" s="15" t="s">
        <v>45</v>
      </c>
      <c r="C46" s="25">
        <v>515977</v>
      </c>
      <c r="D46" s="25">
        <v>515892</v>
      </c>
      <c r="E46" s="25">
        <v>1090604</v>
      </c>
      <c r="F46" s="25">
        <v>515892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26">
        <f>D46-C46</f>
      </c>
      <c r="L46" s="26">
        <f>E46-C46</f>
      </c>
    </row>
    <row r="47" spans="1:12" x14ac:dyDescent="0.25">
      <c r="A47" s="8" t="s">
        <v>16</v>
      </c>
      <c r="B47" s="8" t="s">
        <v>46</v>
      </c>
      <c r="C47" s="27">
        <f>SUM(C38:C46)</f>
      </c>
      <c r="D47" s="27">
        <f>SUM(D38:D46)</f>
      </c>
      <c r="E47" s="27">
        <f>SUM(E38:E46)</f>
      </c>
      <c r="F47" s="27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28">
        <f>D47-C47</f>
      </c>
      <c r="L47" s="28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9">
        <f>C14+C25+C36+C47</f>
      </c>
      <c r="D49" s="29">
        <f>D14+D25+D36+D47</f>
      </c>
      <c r="E49" s="29">
        <f>E14+E25+E36+E47</f>
      </c>
      <c r="F49" s="29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30">
        <f>D49-C49</f>
      </c>
      <c r="L49" s="30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9" priority="1">
      <formula>AND(ISNUMBER(G5),ABS(G5)&lt;=0.01)</formula>
    </cfRule>
    <cfRule type="expression" dxfId="10" priority="2">
      <formula>AND(ISNUMBER(G5),ABS(G5)&lt;=0.05)</formula>
    </cfRule>
    <cfRule type="expression" dxfId="11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60" customWidth="1"/>
    <col min="4" max="4" width="30" customWidth="1"/>
    <col min="5" max="5" width="50" customWidth="1"/>
    <col min="6" max="6" width="58" customWidth="1"/>
  </cols>
  <sheetData>
    <row r="1" ht="24" customHeight="1" spans="1:6" x14ac:dyDescent="0.25">
      <c r="A1" s="1" t="s">
        <v>55</v>
      </c>
      <c r="B1" s="1"/>
      <c r="C1" s="1"/>
      <c r="D1" s="1"/>
      <c r="E1" s="1"/>
      <c r="F1" s="1"/>
    </row>
    <row r="2" ht="30" customHeight="1" spans="1:6" x14ac:dyDescent="0.25">
      <c r="A2" s="2" t="s">
        <v>56</v>
      </c>
      <c r="B2" s="2"/>
      <c r="C2" s="2"/>
      <c r="D2" s="2"/>
      <c r="E2" s="2"/>
      <c r="F2" s="2"/>
    </row>
    <row r="4" spans="1:6" x14ac:dyDescent="0.2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</row>
    <row r="5" ht="190" customHeight="1" spans="1:6" x14ac:dyDescent="0.25">
      <c r="A5" s="31" t="s">
        <v>63</v>
      </c>
      <c r="B5" s="32" t="s">
        <v>64</v>
      </c>
      <c r="C5" s="31" t="s">
        <v>65</v>
      </c>
      <c r="D5" s="31" t="s">
        <v>66</v>
      </c>
      <c r="E5" s="31" t="s">
        <v>67</v>
      </c>
      <c r="F5" s="33" t="s">
        <v>68</v>
      </c>
    </row>
    <row r="6" ht="170" customHeight="1" spans="1:6" x14ac:dyDescent="0.25">
      <c r="A6" s="31" t="s">
        <v>69</v>
      </c>
      <c r="B6" s="32" t="s">
        <v>70</v>
      </c>
      <c r="C6" s="31" t="s">
        <v>71</v>
      </c>
      <c r="D6" s="31" t="s">
        <v>72</v>
      </c>
      <c r="E6" s="31" t="s">
        <v>73</v>
      </c>
      <c r="F6" s="33" t="s">
        <v>74</v>
      </c>
    </row>
    <row r="7" ht="200" customHeight="1" spans="1:6" x14ac:dyDescent="0.25">
      <c r="A7" s="31" t="s">
        <v>75</v>
      </c>
      <c r="B7" s="32" t="s">
        <v>76</v>
      </c>
      <c r="C7" s="31" t="s">
        <v>77</v>
      </c>
      <c r="D7" s="31" t="s">
        <v>78</v>
      </c>
      <c r="E7" s="31" t="s">
        <v>79</v>
      </c>
      <c r="F7" s="33" t="s">
        <v>80</v>
      </c>
    </row>
    <row r="8" ht="170" customHeight="1" spans="1:6" x14ac:dyDescent="0.25">
      <c r="A8" s="31" t="s">
        <v>81</v>
      </c>
      <c r="B8" s="32" t="s">
        <v>82</v>
      </c>
      <c r="C8" s="31" t="s">
        <v>83</v>
      </c>
      <c r="D8" s="31" t="s">
        <v>84</v>
      </c>
      <c r="E8" s="31" t="s">
        <v>85</v>
      </c>
      <c r="F8" s="33" t="s">
        <v>86</v>
      </c>
    </row>
    <row r="9" ht="70" customHeight="1" spans="1:6" x14ac:dyDescent="0.25">
      <c r="A9" s="31" t="s">
        <v>87</v>
      </c>
      <c r="B9" s="32" t="s">
        <v>88</v>
      </c>
      <c r="C9" s="31" t="s">
        <v>89</v>
      </c>
      <c r="D9" s="31" t="s">
        <v>90</v>
      </c>
      <c r="E9" s="31" t="s">
        <v>91</v>
      </c>
      <c r="F9" s="33" t="s">
        <v>92</v>
      </c>
    </row>
    <row r="11" ht="34" customHeight="1" spans="1:6" x14ac:dyDescent="0.25">
      <c r="A11" s="34" t="s">
        <v>93</v>
      </c>
      <c r="B11" s="34"/>
      <c r="C11" s="34"/>
      <c r="D11" s="34"/>
      <c r="E11" s="34"/>
      <c r="F11" s="34"/>
    </row>
  </sheetData>
  <mergeCells count="3">
    <mergeCell ref="A1:F1"/>
    <mergeCell ref="A2:F2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4" customHeight="1" spans="1:2" x14ac:dyDescent="0.25">
      <c r="A1" s="1" t="s">
        <v>94</v>
      </c>
      <c r="B1" s="1"/>
    </row>
    <row r="2" ht="30" customHeight="1" spans="1:2" x14ac:dyDescent="0.25">
      <c r="A2" s="2" t="s">
        <v>95</v>
      </c>
      <c r="B2" s="2"/>
    </row>
    <row r="4" ht="44" customHeight="1" spans="1:2" x14ac:dyDescent="0.25">
      <c r="A4" s="35" t="s">
        <v>96</v>
      </c>
      <c r="B4" s="31" t="s">
        <v>97</v>
      </c>
    </row>
    <row r="5" ht="44" customHeight="1" spans="1:2" x14ac:dyDescent="0.25">
      <c r="A5" s="35" t="s">
        <v>10</v>
      </c>
      <c r="B5" s="31" t="s">
        <v>98</v>
      </c>
    </row>
    <row r="6" ht="44" customHeight="1" spans="1:2" x14ac:dyDescent="0.25">
      <c r="A6" s="35" t="s">
        <v>12</v>
      </c>
      <c r="B6" s="31" t="s">
        <v>99</v>
      </c>
    </row>
    <row r="7" ht="44" customHeight="1" spans="1:2" x14ac:dyDescent="0.25">
      <c r="A7" s="35" t="s">
        <v>14</v>
      </c>
      <c r="B7" s="31" t="s">
        <v>100</v>
      </c>
    </row>
    <row r="8" ht="44" customHeight="1" spans="1:2" x14ac:dyDescent="0.25">
      <c r="A8" s="35" t="s">
        <v>16</v>
      </c>
      <c r="B8" s="31" t="s">
        <v>101</v>
      </c>
    </row>
    <row r="9" ht="44" customHeight="1" spans="1:2" x14ac:dyDescent="0.25">
      <c r="A9" s="35" t="s">
        <v>102</v>
      </c>
      <c r="B9" s="31" t="s">
        <v>103</v>
      </c>
    </row>
    <row r="10" ht="44" customHeight="1" spans="1:2" x14ac:dyDescent="0.25">
      <c r="A10" s="35" t="s">
        <v>4</v>
      </c>
      <c r="B10" s="31" t="s">
        <v>104</v>
      </c>
    </row>
    <row r="11" ht="44" customHeight="1" spans="1:2" x14ac:dyDescent="0.25">
      <c r="A11" s="35" t="s">
        <v>5</v>
      </c>
      <c r="B11" s="31" t="s">
        <v>105</v>
      </c>
    </row>
    <row r="12" ht="44" customHeight="1" spans="1:2" x14ac:dyDescent="0.25">
      <c r="A12" s="35" t="s">
        <v>106</v>
      </c>
      <c r="B12" s="31" t="s">
        <v>107</v>
      </c>
    </row>
    <row r="13" ht="44" customHeight="1" spans="1:2" x14ac:dyDescent="0.25">
      <c r="A13" s="35" t="s">
        <v>108</v>
      </c>
      <c r="B13" s="31" t="s">
        <v>109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Gasto</vt:lpstr>
      <vt:lpstr>Clics</vt:lpstr>
      <vt:lpstr>Impresiones</vt:lpstr>
      <vt:lpstr>Hallazgos para DE</vt:lpstr>
      <vt:lpstr>Metodología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 MX Paid Media</dc:creator>
  <dc:title/>
  <dc:subject/>
  <dc:description/>
  <cp:keywords/>
  <cp:category/>
  <cp:lastModifiedBy>Unknown</cp:lastModifiedBy>
  <dcterms:created xsi:type="dcterms:W3CDTF">2026-09-24T03:36:58Z</dcterms:created>
  <dcterms:modified xsi:type="dcterms:W3CDTF">2026-09-24T03:36:58Z</dcterms:modified>
</cp:coreProperties>
</file>